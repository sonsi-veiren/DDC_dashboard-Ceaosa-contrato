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dcuru-my.sharepoint.com/personal/acarrasco_ddc_com_uy/Documents/DDC Obra/06_LIV District/02_Rubrados y Memorias/"/>
    </mc:Choice>
  </mc:AlternateContent>
  <xr:revisionPtr revIDLastSave="5510" documentId="8_{E6E6E29B-3EF0-4132-A1BA-B0532C1168ED}" xr6:coauthVersionLast="47" xr6:coauthVersionMax="47" xr10:uidLastSave="{56CF6D2B-1717-44B4-806E-E971E5223203}"/>
  <bookViews>
    <workbookView xWindow="-120" yWindow="-120" windowWidth="29040" windowHeight="15720" tabRatio="819" activeTab="9" xr2:uid="{67942048-5DB5-4941-BA24-94B26BD83A64}"/>
  </bookViews>
  <sheets>
    <sheet name="Resumen" sheetId="11" r:id="rId1"/>
    <sheet name="Acopios" sheetId="7" r:id="rId2"/>
    <sheet name="Básico $" sheetId="1" r:id="rId3"/>
    <sheet name="Básico USD Plaza" sheetId="3" r:id="rId4"/>
    <sheet name="Básico USD CIF" sheetId="9" r:id="rId5"/>
    <sheet name="AyD $" sheetId="2" r:id="rId6"/>
    <sheet name="AYD USD Plaza " sheetId="10" r:id="rId7"/>
    <sheet name="AYD USD CIF" sheetId="5" r:id="rId8"/>
    <sheet name="AP" sheetId="4" r:id="rId9"/>
    <sheet name="AP Adicionales" sheetId="6" r:id="rId10"/>
    <sheet name="Por orden GP" sheetId="8" r:id="rId11"/>
    <sheet name="Ascensores" sheetId="13" r:id="rId12"/>
  </sheets>
  <definedNames>
    <definedName name="_xlnm._FilterDatabase" localSheetId="10" hidden="1">'Por orden GP'!$B$3:$M$3</definedName>
    <definedName name="TC">Acopios!$N$55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5" l="1"/>
  <c r="N10" i="10"/>
  <c r="P7" i="9"/>
  <c r="P8" i="3"/>
  <c r="E5" i="11"/>
  <c r="I10" i="3"/>
  <c r="I25" i="1"/>
  <c r="K4" i="4"/>
  <c r="K5" i="4"/>
  <c r="K6" i="4"/>
  <c r="K7" i="4"/>
  <c r="K3" i="4"/>
  <c r="N25" i="1"/>
  <c r="I68" i="7"/>
  <c r="I63" i="7"/>
  <c r="I58" i="7"/>
  <c r="E59" i="7"/>
  <c r="E60" i="7"/>
  <c r="E58" i="7"/>
  <c r="E74" i="7" s="1"/>
  <c r="E69" i="7"/>
  <c r="E70" i="7"/>
  <c r="E68" i="7"/>
  <c r="E76" i="7" s="1"/>
  <c r="E64" i="7"/>
  <c r="E65" i="7"/>
  <c r="E63" i="7"/>
  <c r="E75" i="7" s="1"/>
  <c r="G22" i="1"/>
  <c r="O50" i="8"/>
  <c r="P50" i="8"/>
  <c r="T50" i="8"/>
  <c r="U50" i="8"/>
  <c r="N50" i="8"/>
  <c r="M49" i="8"/>
  <c r="J49" i="8"/>
  <c r="E49" i="8"/>
  <c r="F49" i="8"/>
  <c r="D49" i="8"/>
  <c r="L48" i="8"/>
  <c r="G48" i="8"/>
  <c r="D48" i="8"/>
  <c r="W51" i="8"/>
  <c r="E7" i="13"/>
  <c r="E6" i="13"/>
  <c r="E5" i="13"/>
  <c r="E4" i="13"/>
  <c r="D7" i="13"/>
  <c r="D6" i="13"/>
  <c r="D5" i="13"/>
  <c r="D4" i="13"/>
  <c r="F25" i="1"/>
  <c r="AC4" i="1" s="1"/>
  <c r="Y4" i="1" s="1"/>
  <c r="E79" i="11" s="1"/>
  <c r="I79" i="11" s="1"/>
  <c r="K7" i="6"/>
  <c r="P7" i="6"/>
  <c r="Q7" i="6"/>
  <c r="K6" i="6"/>
  <c r="K5" i="6"/>
  <c r="K4" i="6"/>
  <c r="G8" i="6"/>
  <c r="H8" i="6" s="1"/>
  <c r="I8" i="6"/>
  <c r="J8" i="6" s="1"/>
  <c r="J13" i="5"/>
  <c r="L10" i="5"/>
  <c r="I11" i="5"/>
  <c r="J11" i="5" s="1"/>
  <c r="K11" i="5" s="1"/>
  <c r="F11" i="5"/>
  <c r="G11" i="5" s="1"/>
  <c r="I10" i="5"/>
  <c r="J10" i="5" s="1"/>
  <c r="K10" i="5" s="1"/>
  <c r="F10" i="5"/>
  <c r="G10" i="5" s="1"/>
  <c r="I11" i="10"/>
  <c r="J11" i="10" s="1"/>
  <c r="K11" i="10" s="1"/>
  <c r="I10" i="10"/>
  <c r="J10" i="10" s="1"/>
  <c r="K10" i="10" s="1"/>
  <c r="F11" i="10"/>
  <c r="G11" i="10" s="1"/>
  <c r="F10" i="10"/>
  <c r="G10" i="10" s="1"/>
  <c r="I7" i="6"/>
  <c r="J7" i="6" s="1"/>
  <c r="G7" i="6"/>
  <c r="H7" i="6" s="1"/>
  <c r="M7" i="9"/>
  <c r="L7" i="9"/>
  <c r="H7" i="9"/>
  <c r="G8" i="3"/>
  <c r="H8" i="3"/>
  <c r="L8" i="3"/>
  <c r="M8" i="3"/>
  <c r="R22" i="4"/>
  <c r="S22" i="4" s="1"/>
  <c r="T22" i="4" s="1"/>
  <c r="G22" i="4"/>
  <c r="I22" i="4"/>
  <c r="J48" i="8" s="1"/>
  <c r="J22" i="4"/>
  <c r="K48" i="8" s="1"/>
  <c r="M22" i="4"/>
  <c r="N5" i="1"/>
  <c r="N6" i="1"/>
  <c r="N7" i="1"/>
  <c r="N8" i="1"/>
  <c r="N9" i="1"/>
  <c r="N10" i="1"/>
  <c r="N11" i="1"/>
  <c r="N12" i="1"/>
  <c r="N13" i="1"/>
  <c r="N14" i="1"/>
  <c r="N15" i="1"/>
  <c r="N4" i="1"/>
  <c r="O25" i="1"/>
  <c r="J23" i="1"/>
  <c r="K23" i="1"/>
  <c r="I48" i="8" s="1"/>
  <c r="G23" i="1"/>
  <c r="H23" i="1" s="1"/>
  <c r="I23" i="1"/>
  <c r="L23" i="1"/>
  <c r="M23" i="1"/>
  <c r="J11" i="2"/>
  <c r="AA7" i="5"/>
  <c r="Z7" i="5"/>
  <c r="AD7" i="5" s="1"/>
  <c r="AA6" i="5"/>
  <c r="Z6" i="5"/>
  <c r="AD6" i="5" s="1"/>
  <c r="AA5" i="5"/>
  <c r="Z5" i="5"/>
  <c r="AD5" i="5" s="1"/>
  <c r="AD7" i="10"/>
  <c r="AD6" i="10"/>
  <c r="AD5" i="10"/>
  <c r="AA7" i="10"/>
  <c r="AA6" i="10"/>
  <c r="AA5" i="10"/>
  <c r="Z7" i="10"/>
  <c r="Z6" i="10"/>
  <c r="Z5" i="10"/>
  <c r="AI6" i="2"/>
  <c r="AI5" i="2"/>
  <c r="AI4" i="2"/>
  <c r="J5" i="2"/>
  <c r="AC4" i="2" s="1"/>
  <c r="J6" i="2"/>
  <c r="AD5" i="2" s="1"/>
  <c r="J7" i="2"/>
  <c r="AE6" i="2" s="1"/>
  <c r="J8" i="2"/>
  <c r="AF6" i="2" s="1"/>
  <c r="J4" i="2"/>
  <c r="AB4" i="2" s="1"/>
  <c r="D169" i="11"/>
  <c r="D41" i="11"/>
  <c r="E70" i="11"/>
  <c r="E69" i="11"/>
  <c r="E64" i="11"/>
  <c r="E63" i="11"/>
  <c r="I59" i="11"/>
  <c r="I58" i="11"/>
  <c r="E58" i="11"/>
  <c r="I57" i="11"/>
  <c r="F57" i="11"/>
  <c r="F56" i="11"/>
  <c r="F55" i="11"/>
  <c r="E54" i="11"/>
  <c r="F53" i="11"/>
  <c r="I52" i="11"/>
  <c r="F52" i="11"/>
  <c r="I51" i="11"/>
  <c r="F51" i="11"/>
  <c r="I50" i="11"/>
  <c r="E50" i="11"/>
  <c r="F48" i="11"/>
  <c r="E138" i="11"/>
  <c r="E134" i="11"/>
  <c r="E130" i="11"/>
  <c r="D80" i="11"/>
  <c r="D81" i="11"/>
  <c r="D79" i="11"/>
  <c r="E96" i="11"/>
  <c r="E92" i="11"/>
  <c r="E88" i="11"/>
  <c r="E27" i="11"/>
  <c r="V7" i="9"/>
  <c r="V6" i="9"/>
  <c r="V5" i="9"/>
  <c r="V4" i="9"/>
  <c r="AA3" i="9"/>
  <c r="AL3" i="3"/>
  <c r="AF3" i="3"/>
  <c r="AA3" i="3"/>
  <c r="V9" i="3"/>
  <c r="V8" i="3"/>
  <c r="V7" i="3"/>
  <c r="V5" i="3"/>
  <c r="V4" i="3"/>
  <c r="X9" i="1"/>
  <c r="X8" i="1"/>
  <c r="X7" i="1"/>
  <c r="X5" i="1"/>
  <c r="X4" i="1"/>
  <c r="AL18" i="4"/>
  <c r="AL19" i="4"/>
  <c r="AL16" i="4"/>
  <c r="AL17" i="4"/>
  <c r="AL4" i="4"/>
  <c r="AL5" i="4"/>
  <c r="AL6" i="4"/>
  <c r="AL7" i="4"/>
  <c r="AL8" i="4"/>
  <c r="AL9" i="4"/>
  <c r="AL10" i="4"/>
  <c r="AL11" i="4"/>
  <c r="AL12" i="4"/>
  <c r="AL13" i="4"/>
  <c r="AL14" i="4"/>
  <c r="AM2" i="4"/>
  <c r="AL2" i="4"/>
  <c r="AL3" i="4"/>
  <c r="I22" i="11"/>
  <c r="I23" i="11"/>
  <c r="I21" i="11"/>
  <c r="I15" i="11"/>
  <c r="I16" i="11"/>
  <c r="I14" i="11"/>
  <c r="I8" i="11"/>
  <c r="I9" i="11"/>
  <c r="I7" i="11"/>
  <c r="E22" i="11"/>
  <c r="E18" i="11"/>
  <c r="E14" i="11"/>
  <c r="E33" i="11"/>
  <c r="E34" i="11"/>
  <c r="E32" i="11"/>
  <c r="E28" i="11"/>
  <c r="E26" i="11"/>
  <c r="F21" i="11"/>
  <c r="F20" i="11"/>
  <c r="F19" i="11"/>
  <c r="F17" i="11"/>
  <c r="F16" i="11"/>
  <c r="F15" i="11"/>
  <c r="F13" i="11"/>
  <c r="F12" i="11"/>
  <c r="F11" i="11"/>
  <c r="F14" i="11" s="1"/>
  <c r="P15" i="1"/>
  <c r="AC3" i="1"/>
  <c r="AH3" i="1" s="1"/>
  <c r="F10" i="6"/>
  <c r="V4" i="6" s="1"/>
  <c r="F11" i="2"/>
  <c r="V3" i="2" s="1"/>
  <c r="M10" i="6"/>
  <c r="L10" i="6"/>
  <c r="V8" i="6" s="1"/>
  <c r="F13" i="5"/>
  <c r="U5" i="5" s="1"/>
  <c r="E13" i="5"/>
  <c r="U4" i="5" s="1"/>
  <c r="E13" i="10"/>
  <c r="V4" i="10" s="1"/>
  <c r="O7" i="7"/>
  <c r="Y10" i="1"/>
  <c r="I83" i="11" s="1"/>
  <c r="R21" i="4"/>
  <c r="S21" i="4" s="1"/>
  <c r="L42" i="8"/>
  <c r="P47" i="8"/>
  <c r="O46" i="8"/>
  <c r="P45" i="8"/>
  <c r="O44" i="8"/>
  <c r="E43" i="8"/>
  <c r="E42" i="8"/>
  <c r="I8" i="10"/>
  <c r="J8" i="10" s="1"/>
  <c r="I9" i="10"/>
  <c r="J9" i="10" s="1"/>
  <c r="K9" i="10" s="1"/>
  <c r="I8" i="5"/>
  <c r="I9" i="5"/>
  <c r="G9" i="5"/>
  <c r="G8" i="5"/>
  <c r="F9" i="10"/>
  <c r="F8" i="10"/>
  <c r="K8" i="2"/>
  <c r="G8" i="2"/>
  <c r="K7" i="2"/>
  <c r="G7" i="2"/>
  <c r="M6" i="9"/>
  <c r="U45" i="8" s="1"/>
  <c r="L6" i="9"/>
  <c r="T45" i="8" s="1"/>
  <c r="H6" i="9"/>
  <c r="M7" i="3"/>
  <c r="U44" i="8" s="1"/>
  <c r="L7" i="3"/>
  <c r="T44" i="8" s="1"/>
  <c r="G7" i="3"/>
  <c r="J22" i="1"/>
  <c r="K22" i="1"/>
  <c r="I42" i="8" s="1"/>
  <c r="K21" i="1"/>
  <c r="H22" i="1"/>
  <c r="I22" i="1"/>
  <c r="G42" i="8" s="1"/>
  <c r="L22" i="1"/>
  <c r="M22" i="1"/>
  <c r="G21" i="4"/>
  <c r="H21" i="4" s="1"/>
  <c r="I21" i="4"/>
  <c r="J21" i="4"/>
  <c r="N40" i="8"/>
  <c r="I6" i="5"/>
  <c r="J6" i="5" s="1"/>
  <c r="K6" i="5" s="1"/>
  <c r="I7" i="5"/>
  <c r="J7" i="5" s="1"/>
  <c r="K7" i="5" s="1"/>
  <c r="G4" i="5"/>
  <c r="G7" i="5"/>
  <c r="G6" i="5"/>
  <c r="I6" i="10"/>
  <c r="I7" i="10"/>
  <c r="H22" i="4" l="1"/>
  <c r="F48" i="8" s="1"/>
  <c r="E48" i="8"/>
  <c r="J68" i="7"/>
  <c r="J58" i="7"/>
  <c r="J63" i="7"/>
  <c r="H48" i="8"/>
  <c r="M48" i="8" s="1"/>
  <c r="N23" i="1"/>
  <c r="P23" i="1"/>
  <c r="H42" i="8"/>
  <c r="N22" i="1"/>
  <c r="J83" i="11"/>
  <c r="I145" i="11"/>
  <c r="J145" i="11" s="1"/>
  <c r="AM19" i="4"/>
  <c r="Z13" i="4"/>
  <c r="J43" i="8"/>
  <c r="M43" i="8" s="1"/>
  <c r="F58" i="11"/>
  <c r="F54" i="11"/>
  <c r="D44" i="11"/>
  <c r="F49" i="11"/>
  <c r="E62" i="11"/>
  <c r="F47" i="11"/>
  <c r="F50" i="11" s="1"/>
  <c r="F59" i="11" s="1"/>
  <c r="E68" i="11"/>
  <c r="I42" i="11"/>
  <c r="D122" i="11"/>
  <c r="D123" i="11"/>
  <c r="F79" i="11"/>
  <c r="I85" i="11" s="1"/>
  <c r="J85" i="11" s="1"/>
  <c r="D121" i="11"/>
  <c r="E121" i="11"/>
  <c r="F22" i="11"/>
  <c r="F18" i="11"/>
  <c r="AF3" i="9"/>
  <c r="AP3" i="9"/>
  <c r="AK3" i="9"/>
  <c r="AQ3" i="3"/>
  <c r="AW3" i="3"/>
  <c r="AN3" i="1"/>
  <c r="AY3" i="1"/>
  <c r="AS3" i="1"/>
  <c r="AC5" i="1"/>
  <c r="Y5" i="1"/>
  <c r="Y6" i="1" s="1"/>
  <c r="K8" i="10"/>
  <c r="L8" i="10" s="1"/>
  <c r="M8" i="10" s="1"/>
  <c r="N8" i="10" s="1"/>
  <c r="T46" i="8"/>
  <c r="V46" i="8" s="1"/>
  <c r="L6" i="5"/>
  <c r="K42" i="8"/>
  <c r="M21" i="4"/>
  <c r="N21" i="4" s="1"/>
  <c r="J42" i="8"/>
  <c r="P44" i="8"/>
  <c r="P46" i="8"/>
  <c r="F43" i="8"/>
  <c r="F42" i="8"/>
  <c r="J8" i="5"/>
  <c r="J9" i="5"/>
  <c r="K9" i="5" s="1"/>
  <c r="M6" i="5"/>
  <c r="J7" i="10"/>
  <c r="K7" i="10" s="1"/>
  <c r="N41" i="8"/>
  <c r="J6" i="10"/>
  <c r="G9" i="10"/>
  <c r="G8" i="10"/>
  <c r="L8" i="2"/>
  <c r="H8" i="2"/>
  <c r="H7" i="2"/>
  <c r="L7" i="2"/>
  <c r="H7" i="3"/>
  <c r="P22" i="1"/>
  <c r="F7" i="10"/>
  <c r="G7" i="10" s="1"/>
  <c r="F6" i="10"/>
  <c r="G6" i="10" s="1"/>
  <c r="F10" i="3"/>
  <c r="AA4" i="3" s="1"/>
  <c r="P40" i="8"/>
  <c r="G9" i="9"/>
  <c r="F9" i="9"/>
  <c r="AA4" i="9" s="1"/>
  <c r="L5" i="9"/>
  <c r="T40" i="8" s="1"/>
  <c r="M5" i="9"/>
  <c r="H5" i="9"/>
  <c r="N39" i="8"/>
  <c r="M6" i="3"/>
  <c r="L6" i="3"/>
  <c r="I38" i="8"/>
  <c r="L38" i="8"/>
  <c r="E38" i="8"/>
  <c r="F38" i="8" s="1"/>
  <c r="R20" i="4"/>
  <c r="G20" i="4"/>
  <c r="H20" i="4" s="1"/>
  <c r="I20" i="4"/>
  <c r="J20" i="4"/>
  <c r="L24" i="4"/>
  <c r="Z8" i="4" s="1"/>
  <c r="F24" i="4"/>
  <c r="Z3" i="4" s="1"/>
  <c r="Q23" i="1" l="1"/>
  <c r="R23" i="1" s="1"/>
  <c r="AA5" i="3"/>
  <c r="W4" i="3"/>
  <c r="E80" i="11" s="1"/>
  <c r="I43" i="11"/>
  <c r="I44" i="11"/>
  <c r="I45" i="11"/>
  <c r="D124" i="11"/>
  <c r="F121" i="11"/>
  <c r="H121" i="11" s="1"/>
  <c r="G121" i="11"/>
  <c r="M7" i="2"/>
  <c r="N7" i="2" s="1"/>
  <c r="AA5" i="9"/>
  <c r="W4" i="9"/>
  <c r="E81" i="11" s="1"/>
  <c r="W5" i="3"/>
  <c r="W6" i="3" s="1"/>
  <c r="M42" i="8"/>
  <c r="M20" i="4"/>
  <c r="N20" i="4" s="1"/>
  <c r="T47" i="8"/>
  <c r="V47" i="8" s="1"/>
  <c r="K8" i="5"/>
  <c r="Q22" i="1"/>
  <c r="R22" i="1" s="1"/>
  <c r="N6" i="5"/>
  <c r="O41" i="8"/>
  <c r="P41" i="8" s="1"/>
  <c r="T41" i="8"/>
  <c r="K6" i="10"/>
  <c r="L6" i="10" s="1"/>
  <c r="U40" i="8"/>
  <c r="T39" i="8"/>
  <c r="U39" i="8"/>
  <c r="S20" i="4"/>
  <c r="J21" i="1"/>
  <c r="N21" i="1" s="1"/>
  <c r="G21" i="1"/>
  <c r="H21" i="1" s="1"/>
  <c r="I21" i="1"/>
  <c r="G38" i="8" s="1"/>
  <c r="L21" i="1"/>
  <c r="J38" i="8" s="1"/>
  <c r="M21" i="1"/>
  <c r="K38" i="8" s="1"/>
  <c r="AM18" i="4" l="1"/>
  <c r="T21" i="4"/>
  <c r="E123" i="11"/>
  <c r="I98" i="11"/>
  <c r="F81" i="11"/>
  <c r="I103" i="11" s="1"/>
  <c r="J103" i="11" s="1"/>
  <c r="E122" i="11"/>
  <c r="F80" i="11"/>
  <c r="I94" i="11" s="1"/>
  <c r="J94" i="11" s="1"/>
  <c r="I89" i="11"/>
  <c r="O7" i="2"/>
  <c r="N11" i="2"/>
  <c r="L8" i="5"/>
  <c r="M8" i="5" s="1"/>
  <c r="N8" i="5" s="1"/>
  <c r="M6" i="10"/>
  <c r="N6" i="10"/>
  <c r="V41" i="8"/>
  <c r="P21" i="1"/>
  <c r="H38" i="8"/>
  <c r="O9" i="7"/>
  <c r="R9" i="7" s="1"/>
  <c r="O8" i="7"/>
  <c r="R8" i="7" s="1"/>
  <c r="R7" i="7"/>
  <c r="H7" i="7"/>
  <c r="F123" i="11" l="1"/>
  <c r="H123" i="11" s="1"/>
  <c r="G123" i="11"/>
  <c r="E124" i="11"/>
  <c r="F122" i="11"/>
  <c r="G122" i="11"/>
  <c r="R21" i="1"/>
  <c r="M38" i="8"/>
  <c r="N34" i="8"/>
  <c r="O37" i="8"/>
  <c r="P37" i="8" s="1"/>
  <c r="P36" i="8"/>
  <c r="I5" i="5"/>
  <c r="J5" i="5" s="1"/>
  <c r="K5" i="5" s="1"/>
  <c r="G5" i="5"/>
  <c r="G13" i="5" s="1"/>
  <c r="U6" i="5" s="1"/>
  <c r="I5" i="10"/>
  <c r="J5" i="10" s="1"/>
  <c r="K5" i="10" s="1"/>
  <c r="F5" i="10"/>
  <c r="G5" i="10" s="1"/>
  <c r="G124" i="11" l="1"/>
  <c r="I141" i="11"/>
  <c r="F124" i="11"/>
  <c r="H122" i="11"/>
  <c r="T36" i="8"/>
  <c r="T37" i="8"/>
  <c r="V37" i="8" s="1"/>
  <c r="I4" i="5"/>
  <c r="J4" i="5" s="1"/>
  <c r="I4" i="10"/>
  <c r="J4" i="10" s="1"/>
  <c r="I147" i="11" l="1"/>
  <c r="J147" i="11" s="1"/>
  <c r="H124" i="11"/>
  <c r="K4" i="10"/>
  <c r="J13" i="10"/>
  <c r="V7" i="10" s="1"/>
  <c r="E106" i="11" s="1"/>
  <c r="E148" i="11" s="1"/>
  <c r="U7" i="5"/>
  <c r="K4" i="5"/>
  <c r="L4" i="5" s="1"/>
  <c r="V36" i="8"/>
  <c r="L30" i="8"/>
  <c r="I30" i="8"/>
  <c r="L29" i="8"/>
  <c r="I29" i="8"/>
  <c r="L28" i="8"/>
  <c r="I27" i="8"/>
  <c r="L27" i="8"/>
  <c r="D26" i="8"/>
  <c r="L26" i="8"/>
  <c r="I26" i="8"/>
  <c r="L25" i="8"/>
  <c r="L22" i="8"/>
  <c r="I13" i="1"/>
  <c r="G22" i="8" s="1"/>
  <c r="H22" i="8"/>
  <c r="I22" i="8"/>
  <c r="L20" i="8"/>
  <c r="H20" i="8"/>
  <c r="I20" i="8"/>
  <c r="L18" i="8"/>
  <c r="L4" i="10" l="1"/>
  <c r="M4" i="10"/>
  <c r="M13" i="10" s="1"/>
  <c r="V8" i="10" s="1"/>
  <c r="N4" i="10"/>
  <c r="H18" i="8"/>
  <c r="I18" i="8"/>
  <c r="H16" i="8"/>
  <c r="I16" i="8"/>
  <c r="L16" i="8"/>
  <c r="H15" i="8"/>
  <c r="I15" i="8"/>
  <c r="L15" i="8"/>
  <c r="L11" i="8"/>
  <c r="L12" i="8"/>
  <c r="L13" i="8"/>
  <c r="L14" i="8"/>
  <c r="L10" i="8"/>
  <c r="G5" i="8"/>
  <c r="H5" i="8"/>
  <c r="I5" i="8"/>
  <c r="L5" i="8"/>
  <c r="G6" i="8"/>
  <c r="H6" i="8"/>
  <c r="I6" i="8"/>
  <c r="L6" i="8"/>
  <c r="G7" i="8"/>
  <c r="H7" i="8"/>
  <c r="I7" i="8"/>
  <c r="L7" i="8"/>
  <c r="G8" i="8"/>
  <c r="H8" i="8"/>
  <c r="I8" i="8"/>
  <c r="L8" i="8"/>
  <c r="H4" i="8"/>
  <c r="I4" i="8"/>
  <c r="L4" i="8"/>
  <c r="G4" i="8"/>
  <c r="T35" i="8" l="1"/>
  <c r="V35" i="8" s="1"/>
  <c r="O35" i="8"/>
  <c r="P35" i="8" s="1"/>
  <c r="P34" i="8"/>
  <c r="O33" i="8"/>
  <c r="P33" i="8" s="1"/>
  <c r="M4" i="5" l="1"/>
  <c r="F4" i="10"/>
  <c r="M13" i="5" l="1"/>
  <c r="U8" i="5" s="1"/>
  <c r="N4" i="5"/>
  <c r="G4" i="10"/>
  <c r="G13" i="10" s="1"/>
  <c r="V6" i="10" s="1"/>
  <c r="F13" i="10"/>
  <c r="V5" i="10" s="1"/>
  <c r="L32" i="8" l="1"/>
  <c r="D32" i="8" l="1"/>
  <c r="F32" i="8" s="1"/>
  <c r="R19" i="4" l="1"/>
  <c r="S19" i="4" s="1"/>
  <c r="G19" i="4"/>
  <c r="H19" i="4" s="1"/>
  <c r="I19" i="4"/>
  <c r="J19" i="4"/>
  <c r="M4" i="9"/>
  <c r="L4" i="9"/>
  <c r="H4" i="9"/>
  <c r="H9" i="9" s="1"/>
  <c r="M20" i="1"/>
  <c r="L20" i="1"/>
  <c r="K20" i="1"/>
  <c r="J20" i="1"/>
  <c r="G20" i="1"/>
  <c r="H20" i="1" s="1"/>
  <c r="I20" i="1"/>
  <c r="I10" i="1"/>
  <c r="G16" i="8" s="1"/>
  <c r="H18" i="7"/>
  <c r="H12" i="7"/>
  <c r="P31" i="8"/>
  <c r="V31" i="8" s="1"/>
  <c r="F31" i="8"/>
  <c r="M31" i="8" s="1"/>
  <c r="T20" i="4" l="1"/>
  <c r="H32" i="8"/>
  <c r="N20" i="1"/>
  <c r="AM17" i="4"/>
  <c r="K25" i="1"/>
  <c r="U34" i="8"/>
  <c r="M9" i="9"/>
  <c r="AP4" i="9" s="1"/>
  <c r="T34" i="8"/>
  <c r="L9" i="9"/>
  <c r="AK4" i="9" s="1"/>
  <c r="I32" i="8"/>
  <c r="P20" i="1"/>
  <c r="R20" i="1" s="1"/>
  <c r="G32" i="8"/>
  <c r="J32" i="8"/>
  <c r="K32" i="8"/>
  <c r="M19" i="4"/>
  <c r="M4" i="3"/>
  <c r="L4" i="3"/>
  <c r="U7" i="7" l="1"/>
  <c r="F87" i="11"/>
  <c r="F129" i="11" s="1"/>
  <c r="AP5" i="9"/>
  <c r="W7" i="9"/>
  <c r="E112" i="11" s="1"/>
  <c r="AK5" i="9"/>
  <c r="W6" i="9"/>
  <c r="M32" i="8"/>
  <c r="J18" i="1"/>
  <c r="I19" i="7"/>
  <c r="I18" i="7"/>
  <c r="I17" i="7"/>
  <c r="I12" i="7"/>
  <c r="R18" i="4"/>
  <c r="S18" i="4" s="1"/>
  <c r="R16" i="4"/>
  <c r="S16" i="4" s="1"/>
  <c r="AM15" i="4" s="1"/>
  <c r="AM16" i="4" l="1"/>
  <c r="T19" i="4"/>
  <c r="H29" i="8"/>
  <c r="N18" i="1"/>
  <c r="E155" i="11"/>
  <c r="I101" i="11"/>
  <c r="J101" i="11" s="1"/>
  <c r="E107" i="11"/>
  <c r="E149" i="11" s="1"/>
  <c r="E102" i="11"/>
  <c r="T18" i="4"/>
  <c r="D30" i="8"/>
  <c r="E30" i="8" s="1"/>
  <c r="F30" i="8" s="1"/>
  <c r="G18" i="4"/>
  <c r="H18" i="4" s="1"/>
  <c r="I18" i="4"/>
  <c r="J18" i="4"/>
  <c r="J19" i="1"/>
  <c r="N19" i="1" s="1"/>
  <c r="G19" i="1"/>
  <c r="H19" i="1" s="1"/>
  <c r="I19" i="1"/>
  <c r="G30" i="8" s="1"/>
  <c r="L19" i="1"/>
  <c r="M19" i="1"/>
  <c r="E144" i="11" l="1"/>
  <c r="I100" i="11"/>
  <c r="J100" i="11" s="1"/>
  <c r="K30" i="8"/>
  <c r="J30" i="8"/>
  <c r="M18" i="4"/>
  <c r="H30" i="8"/>
  <c r="P19" i="1"/>
  <c r="M18" i="1"/>
  <c r="L18" i="1"/>
  <c r="M30" i="8" l="1"/>
  <c r="Q19" i="1"/>
  <c r="R19" i="1" s="1"/>
  <c r="F29" i="8"/>
  <c r="F27" i="8"/>
  <c r="F26" i="8"/>
  <c r="F22" i="8"/>
  <c r="F25" i="8"/>
  <c r="P24" i="8"/>
  <c r="G18" i="1"/>
  <c r="H18" i="1" s="1"/>
  <c r="I18" i="1"/>
  <c r="G29" i="8" s="1"/>
  <c r="G17" i="4"/>
  <c r="H17" i="4" s="1"/>
  <c r="I17" i="4"/>
  <c r="J29" i="8" s="1"/>
  <c r="J17" i="4"/>
  <c r="K29" i="8" s="1"/>
  <c r="E28" i="8"/>
  <c r="F28" i="8" s="1"/>
  <c r="G16" i="4"/>
  <c r="H16" i="4" s="1"/>
  <c r="I16" i="4"/>
  <c r="J16" i="4"/>
  <c r="R15" i="4"/>
  <c r="S15" i="4" s="1"/>
  <c r="AM14" i="4" s="1"/>
  <c r="R14" i="4"/>
  <c r="G15" i="4"/>
  <c r="H15" i="4" s="1"/>
  <c r="I15" i="4"/>
  <c r="J15" i="4"/>
  <c r="J28" i="8" l="1"/>
  <c r="M17" i="4"/>
  <c r="N17" i="4" s="1"/>
  <c r="K28" i="8"/>
  <c r="P18" i="1"/>
  <c r="T16" i="4"/>
  <c r="M16" i="4"/>
  <c r="M15" i="4"/>
  <c r="J17" i="1"/>
  <c r="J16" i="1"/>
  <c r="N16" i="1" s="1"/>
  <c r="H27" i="8" l="1"/>
  <c r="N17" i="1"/>
  <c r="H26" i="8"/>
  <c r="Q18" i="1"/>
  <c r="R18" i="1" s="1"/>
  <c r="M29" i="8"/>
  <c r="N16" i="4"/>
  <c r="M28" i="8"/>
  <c r="N15" i="4"/>
  <c r="L17" i="1"/>
  <c r="J27" i="8" s="1"/>
  <c r="G17" i="1"/>
  <c r="H17" i="1" s="1"/>
  <c r="I17" i="1"/>
  <c r="G27" i="8" s="1"/>
  <c r="M17" i="1"/>
  <c r="K27" i="8" s="1"/>
  <c r="P17" i="1" l="1"/>
  <c r="M27" i="8" s="1"/>
  <c r="Q15" i="1"/>
  <c r="S14" i="4"/>
  <c r="T15" i="4" l="1"/>
  <c r="AM13" i="4"/>
  <c r="R17" i="1"/>
  <c r="R15" i="1"/>
  <c r="G16" i="1"/>
  <c r="H16" i="1" s="1"/>
  <c r="I16" i="1"/>
  <c r="G26" i="8" s="1"/>
  <c r="L16" i="1"/>
  <c r="M16" i="1"/>
  <c r="G14" i="4"/>
  <c r="I14" i="4"/>
  <c r="J14" i="4"/>
  <c r="R13" i="4"/>
  <c r="S13" i="4" s="1"/>
  <c r="AM12" i="4" s="1"/>
  <c r="I14" i="1"/>
  <c r="J14" i="1"/>
  <c r="J25" i="1" s="1"/>
  <c r="J13" i="4"/>
  <c r="I13" i="4"/>
  <c r="G13" i="4"/>
  <c r="H13" i="4" s="1"/>
  <c r="M14" i="1"/>
  <c r="L14" i="1"/>
  <c r="G14" i="1"/>
  <c r="H14" i="1" s="1"/>
  <c r="T7" i="7" l="1"/>
  <c r="F86" i="11"/>
  <c r="G25" i="8"/>
  <c r="P14" i="1"/>
  <c r="K25" i="8"/>
  <c r="J25" i="8"/>
  <c r="J26" i="8"/>
  <c r="K26" i="8"/>
  <c r="T14" i="4"/>
  <c r="M13" i="4"/>
  <c r="H14" i="4"/>
  <c r="M14" i="4"/>
  <c r="N14" i="4" s="1"/>
  <c r="N24" i="4" s="1"/>
  <c r="Z9" i="4" s="1"/>
  <c r="P16" i="1"/>
  <c r="E19" i="7"/>
  <c r="J19" i="7" s="1"/>
  <c r="K7" i="9" s="1"/>
  <c r="E18" i="7"/>
  <c r="J18" i="7" s="1"/>
  <c r="K8" i="3" s="1"/>
  <c r="S50" i="8" s="1"/>
  <c r="E17" i="7"/>
  <c r="F128" i="11" l="1"/>
  <c r="K4" i="9"/>
  <c r="K5" i="9"/>
  <c r="S40" i="8" s="1"/>
  <c r="K6" i="9"/>
  <c r="S45" i="8" s="1"/>
  <c r="K5" i="3"/>
  <c r="K6" i="3"/>
  <c r="S39" i="8" s="1"/>
  <c r="K7" i="3"/>
  <c r="S44" i="8" s="1"/>
  <c r="M26" i="8"/>
  <c r="Q16" i="1"/>
  <c r="Q25" i="1" s="1"/>
  <c r="R14" i="1"/>
  <c r="M25" i="8"/>
  <c r="R12" i="4"/>
  <c r="S12" i="4" s="1"/>
  <c r="M13" i="1"/>
  <c r="L13" i="1"/>
  <c r="G13" i="1"/>
  <c r="H13" i="1" s="1"/>
  <c r="J12" i="4"/>
  <c r="I12" i="4"/>
  <c r="G12" i="4"/>
  <c r="H12" i="4" s="1"/>
  <c r="D21" i="8"/>
  <c r="D20" i="8"/>
  <c r="D19" i="8"/>
  <c r="D18" i="8"/>
  <c r="D17" i="8"/>
  <c r="D16" i="8"/>
  <c r="D15" i="8"/>
  <c r="D11" i="8"/>
  <c r="D12" i="8"/>
  <c r="D13" i="8"/>
  <c r="D14" i="8"/>
  <c r="D10" i="8"/>
  <c r="D8" i="8"/>
  <c r="D7" i="8"/>
  <c r="D6" i="8"/>
  <c r="D5" i="8"/>
  <c r="D4" i="8"/>
  <c r="E12" i="7"/>
  <c r="D23" i="8" s="1"/>
  <c r="F23" i="8" s="1"/>
  <c r="M23" i="8" s="1"/>
  <c r="I13" i="7"/>
  <c r="I14" i="7"/>
  <c r="I8" i="7"/>
  <c r="I9" i="7"/>
  <c r="E13" i="7"/>
  <c r="E14" i="7"/>
  <c r="T13" i="4" l="1"/>
  <c r="AM11" i="4"/>
  <c r="S34" i="8"/>
  <c r="K9" i="9"/>
  <c r="K10" i="3"/>
  <c r="F91" i="11" s="1"/>
  <c r="F133" i="11" s="1"/>
  <c r="S33" i="8"/>
  <c r="K22" i="8"/>
  <c r="J22" i="8"/>
  <c r="J13" i="7"/>
  <c r="N23" i="8"/>
  <c r="P23" i="8" s="1"/>
  <c r="V23" i="8" s="1"/>
  <c r="R16" i="1"/>
  <c r="M12" i="4"/>
  <c r="P13" i="1"/>
  <c r="J14" i="7"/>
  <c r="J7" i="9" l="1"/>
  <c r="J8" i="3"/>
  <c r="R50" i="8" s="1"/>
  <c r="U9" i="7"/>
  <c r="F95" i="11"/>
  <c r="F137" i="11" s="1"/>
  <c r="U8" i="7"/>
  <c r="J5" i="9"/>
  <c r="R40" i="8" s="1"/>
  <c r="J7" i="3"/>
  <c r="R44" i="8" s="1"/>
  <c r="J6" i="3"/>
  <c r="R39" i="8" s="1"/>
  <c r="J6" i="9"/>
  <c r="R45" i="8" s="1"/>
  <c r="J5" i="3"/>
  <c r="R33" i="8" s="1"/>
  <c r="J4" i="9"/>
  <c r="J4" i="3"/>
  <c r="R13" i="1"/>
  <c r="M22" i="8"/>
  <c r="I7" i="7"/>
  <c r="J9" i="9" l="1"/>
  <c r="R34" i="8"/>
  <c r="J10" i="3"/>
  <c r="E8" i="7"/>
  <c r="E9" i="7"/>
  <c r="J9" i="7" s="1"/>
  <c r="I7" i="9" s="1"/>
  <c r="N7" i="9" s="1"/>
  <c r="C7" i="13" s="1"/>
  <c r="F7" i="13" s="1"/>
  <c r="E7" i="7"/>
  <c r="J7" i="7" s="1"/>
  <c r="T9" i="7" l="1"/>
  <c r="F94" i="11"/>
  <c r="F136" i="11" s="1"/>
  <c r="T8" i="7"/>
  <c r="F90" i="11"/>
  <c r="F132" i="11" s="1"/>
  <c r="I6" i="9"/>
  <c r="I5" i="9"/>
  <c r="I4" i="9"/>
  <c r="J8" i="7"/>
  <c r="I8" i="3" s="1"/>
  <c r="N9" i="8"/>
  <c r="P9" i="8" s="1"/>
  <c r="D9" i="8"/>
  <c r="F9" i="8" s="1"/>
  <c r="R11" i="4"/>
  <c r="S11" i="4" s="1"/>
  <c r="P5" i="6"/>
  <c r="Q5" i="6" s="1"/>
  <c r="R5" i="6" s="1"/>
  <c r="P6" i="6"/>
  <c r="Q6" i="6" s="1"/>
  <c r="P4" i="6"/>
  <c r="Q4" i="6" s="1"/>
  <c r="I12" i="1"/>
  <c r="G20" i="8" s="1"/>
  <c r="I6" i="6"/>
  <c r="J6" i="6" s="1"/>
  <c r="G6" i="6"/>
  <c r="J11" i="4"/>
  <c r="I11" i="4"/>
  <c r="G11" i="4"/>
  <c r="H11" i="4" s="1"/>
  <c r="Q50" i="8" l="1"/>
  <c r="V50" i="8" s="1"/>
  <c r="N8" i="3"/>
  <c r="R7" i="6"/>
  <c r="R6" i="6"/>
  <c r="T12" i="4"/>
  <c r="AM10" i="4"/>
  <c r="M21" i="8"/>
  <c r="J21" i="8"/>
  <c r="N6" i="9"/>
  <c r="Q45" i="8"/>
  <c r="V45" i="8" s="1"/>
  <c r="W45" i="8" s="1"/>
  <c r="Q40" i="8"/>
  <c r="N5" i="9"/>
  <c r="C5" i="13" s="1"/>
  <c r="N4" i="9"/>
  <c r="C4" i="13" s="1"/>
  <c r="Q34" i="8"/>
  <c r="V34" i="8" s="1"/>
  <c r="W34" i="8" s="1"/>
  <c r="I9" i="9"/>
  <c r="I7" i="3"/>
  <c r="I6" i="3"/>
  <c r="I5" i="3"/>
  <c r="Q33" i="8" s="1"/>
  <c r="I4" i="3"/>
  <c r="M11" i="4"/>
  <c r="H6" i="6"/>
  <c r="F21" i="8" s="1"/>
  <c r="E21" i="8"/>
  <c r="G12" i="1"/>
  <c r="E20" i="8" s="1"/>
  <c r="L12" i="1"/>
  <c r="J20" i="8" s="1"/>
  <c r="M12" i="1"/>
  <c r="K20" i="8" s="1"/>
  <c r="G5" i="6"/>
  <c r="H5" i="6" s="1"/>
  <c r="I5" i="6"/>
  <c r="J5" i="6" s="1"/>
  <c r="I4" i="6"/>
  <c r="K6" i="2"/>
  <c r="O6" i="9" l="1"/>
  <c r="P6" i="9" s="1"/>
  <c r="C6" i="13"/>
  <c r="AF4" i="9"/>
  <c r="F93" i="11"/>
  <c r="J4" i="6"/>
  <c r="J10" i="6" s="1"/>
  <c r="I10" i="6"/>
  <c r="V7" i="6" s="1"/>
  <c r="E104" i="11" s="1"/>
  <c r="E146" i="11" s="1"/>
  <c r="J19" i="8"/>
  <c r="S9" i="7"/>
  <c r="V9" i="7" s="1"/>
  <c r="P5" i="9"/>
  <c r="V40" i="8"/>
  <c r="W40" i="8" s="1"/>
  <c r="O4" i="9"/>
  <c r="N9" i="9"/>
  <c r="N7" i="3"/>
  <c r="O7" i="3" s="1"/>
  <c r="P7" i="3" s="1"/>
  <c r="Q44" i="8"/>
  <c r="V44" i="8" s="1"/>
  <c r="N6" i="3"/>
  <c r="Q39" i="8"/>
  <c r="N4" i="3"/>
  <c r="O4" i="3" s="1"/>
  <c r="H12" i="1"/>
  <c r="F20" i="8" s="1"/>
  <c r="P12" i="1"/>
  <c r="S10" i="4"/>
  <c r="G10" i="4"/>
  <c r="H10" i="4" s="1"/>
  <c r="I10" i="4"/>
  <c r="J10" i="4"/>
  <c r="G4" i="6"/>
  <c r="G10" i="6" s="1"/>
  <c r="V5" i="6" s="1"/>
  <c r="L6" i="2"/>
  <c r="M6" i="2" s="1"/>
  <c r="G6" i="2"/>
  <c r="W5" i="9" l="1"/>
  <c r="W8" i="9" s="1"/>
  <c r="AF5" i="9"/>
  <c r="F135" i="11"/>
  <c r="F138" i="11" s="1"/>
  <c r="F96" i="11"/>
  <c r="I99" i="11" s="1"/>
  <c r="F89" i="11"/>
  <c r="AL4" i="3"/>
  <c r="T11" i="4"/>
  <c r="AM9" i="4"/>
  <c r="X9" i="7"/>
  <c r="W9" i="7"/>
  <c r="Y9" i="7" s="1"/>
  <c r="E19" i="8"/>
  <c r="S8" i="7"/>
  <c r="V8" i="7" s="1"/>
  <c r="P6" i="3"/>
  <c r="V39" i="8"/>
  <c r="O9" i="9"/>
  <c r="P4" i="9"/>
  <c r="M10" i="4"/>
  <c r="R12" i="1"/>
  <c r="M20" i="8"/>
  <c r="H6" i="2"/>
  <c r="O6" i="2"/>
  <c r="M19" i="8"/>
  <c r="H4" i="6"/>
  <c r="H10" i="6" s="1"/>
  <c r="V6" i="6" s="1"/>
  <c r="J99" i="11" l="1"/>
  <c r="I102" i="11"/>
  <c r="J102" i="11" s="1"/>
  <c r="F131" i="11"/>
  <c r="F134" i="11" s="1"/>
  <c r="F92" i="11"/>
  <c r="I90" i="11" s="1"/>
  <c r="AL5" i="3"/>
  <c r="W7" i="3"/>
  <c r="W8" i="7"/>
  <c r="Y8" i="7" s="1"/>
  <c r="X8" i="7"/>
  <c r="F19" i="8"/>
  <c r="I11" i="1"/>
  <c r="G18" i="8" s="1"/>
  <c r="G11" i="1"/>
  <c r="L11" i="1"/>
  <c r="M11" i="1"/>
  <c r="J90" i="11" l="1"/>
  <c r="H11" i="1"/>
  <c r="P11" i="1"/>
  <c r="J7" i="4"/>
  <c r="K14" i="8" s="1"/>
  <c r="R11" i="1" l="1"/>
  <c r="G8" i="4"/>
  <c r="H8" i="4" s="1"/>
  <c r="I8" i="4"/>
  <c r="J8" i="4"/>
  <c r="K5" i="2"/>
  <c r="L5" i="2" s="1"/>
  <c r="K4" i="2"/>
  <c r="K11" i="2" s="1"/>
  <c r="G5" i="2"/>
  <c r="H5" i="2" s="1"/>
  <c r="G4" i="2"/>
  <c r="G11" i="2" l="1"/>
  <c r="L4" i="2"/>
  <c r="J17" i="8"/>
  <c r="M8" i="4"/>
  <c r="M17" i="8"/>
  <c r="E17" i="8"/>
  <c r="H4" i="2"/>
  <c r="H11" i="2" s="1"/>
  <c r="V5" i="2" s="1"/>
  <c r="O4" i="2"/>
  <c r="O5" i="2"/>
  <c r="S9" i="4"/>
  <c r="AM8" i="4" s="1"/>
  <c r="J9" i="4"/>
  <c r="K18" i="8" s="1"/>
  <c r="I9" i="4"/>
  <c r="J18" i="8" s="1"/>
  <c r="G9" i="4"/>
  <c r="I9" i="1"/>
  <c r="F85" i="11" s="1"/>
  <c r="M10" i="1"/>
  <c r="K16" i="8" s="1"/>
  <c r="L10" i="1"/>
  <c r="J16" i="8" s="1"/>
  <c r="G10" i="1"/>
  <c r="F88" i="11" l="1"/>
  <c r="I80" i="11" s="1"/>
  <c r="F127" i="11"/>
  <c r="F130" i="11" s="1"/>
  <c r="F139" i="11" s="1"/>
  <c r="I142" i="11" s="1"/>
  <c r="J142" i="11" s="1"/>
  <c r="M4" i="2"/>
  <c r="L11" i="2"/>
  <c r="S7" i="7"/>
  <c r="V7" i="7" s="1"/>
  <c r="AN4" i="1"/>
  <c r="G15" i="8"/>
  <c r="M9" i="4"/>
  <c r="M18" i="8" s="1"/>
  <c r="H9" i="4"/>
  <c r="F18" i="8" s="1"/>
  <c r="E18" i="8"/>
  <c r="H10" i="1"/>
  <c r="F16" i="8" s="1"/>
  <c r="E16" i="8"/>
  <c r="F17" i="8"/>
  <c r="P10" i="1"/>
  <c r="T10" i="4"/>
  <c r="J4" i="4"/>
  <c r="K11" i="8" s="1"/>
  <c r="J5" i="4"/>
  <c r="K12" i="8" s="1"/>
  <c r="I4" i="4"/>
  <c r="J11" i="8" s="1"/>
  <c r="I5" i="4"/>
  <c r="J12" i="8" s="1"/>
  <c r="I7" i="4"/>
  <c r="J14" i="8" s="1"/>
  <c r="I3" i="4"/>
  <c r="J3" i="4"/>
  <c r="R4" i="4"/>
  <c r="S4" i="4" s="1"/>
  <c r="AM4" i="4" s="1"/>
  <c r="R5" i="4"/>
  <c r="S5" i="4" s="1"/>
  <c r="AM5" i="4" s="1"/>
  <c r="R6" i="4"/>
  <c r="R7" i="4"/>
  <c r="S7" i="4" s="1"/>
  <c r="R3" i="4"/>
  <c r="G7" i="4"/>
  <c r="G4" i="4"/>
  <c r="G5" i="4"/>
  <c r="G3" i="4"/>
  <c r="G9" i="1"/>
  <c r="L9" i="1"/>
  <c r="J15" i="8" s="1"/>
  <c r="M9" i="1"/>
  <c r="K15" i="8" s="1"/>
  <c r="R24" i="4" l="1"/>
  <c r="J80" i="11"/>
  <c r="Y7" i="1"/>
  <c r="AN5" i="1"/>
  <c r="T9" i="4"/>
  <c r="AM7" i="4"/>
  <c r="W7" i="7"/>
  <c r="Y7" i="7" s="1"/>
  <c r="X7" i="7"/>
  <c r="K10" i="8"/>
  <c r="J10" i="8"/>
  <c r="S3" i="4"/>
  <c r="E10" i="8"/>
  <c r="H5" i="4"/>
  <c r="F12" i="8" s="1"/>
  <c r="E12" i="8"/>
  <c r="M4" i="4"/>
  <c r="M11" i="8" s="1"/>
  <c r="H4" i="4"/>
  <c r="F11" i="8" s="1"/>
  <c r="E11" i="8"/>
  <c r="H7" i="4"/>
  <c r="F14" i="8" s="1"/>
  <c r="E14" i="8"/>
  <c r="M5" i="4"/>
  <c r="M12" i="8" s="1"/>
  <c r="R10" i="1"/>
  <c r="M16" i="8"/>
  <c r="H9" i="1"/>
  <c r="F15" i="8" s="1"/>
  <c r="E15" i="8"/>
  <c r="P9" i="1"/>
  <c r="M7" i="4"/>
  <c r="M14" i="8" s="1"/>
  <c r="H3" i="4"/>
  <c r="M3" i="4"/>
  <c r="J6" i="4"/>
  <c r="I6" i="4"/>
  <c r="S6" i="4"/>
  <c r="G6" i="4"/>
  <c r="G24" i="4" s="1"/>
  <c r="Z4" i="4" s="1"/>
  <c r="T5" i="4"/>
  <c r="G8" i="1"/>
  <c r="L8" i="1"/>
  <c r="J8" i="8" s="1"/>
  <c r="M8" i="1"/>
  <c r="K8" i="8" s="1"/>
  <c r="M92" i="1"/>
  <c r="T4" i="4" l="1"/>
  <c r="AM3" i="4"/>
  <c r="T6" i="4"/>
  <c r="AM6" i="4"/>
  <c r="K13" i="8"/>
  <c r="J24" i="4"/>
  <c r="Z7" i="4" s="1"/>
  <c r="E113" i="11" s="1"/>
  <c r="E156" i="11" s="1"/>
  <c r="J13" i="8"/>
  <c r="I24" i="4"/>
  <c r="Z6" i="4" s="1"/>
  <c r="E103" i="11" s="1"/>
  <c r="E145" i="11" s="1"/>
  <c r="M10" i="8"/>
  <c r="M6" i="4"/>
  <c r="F10" i="8"/>
  <c r="E13" i="8"/>
  <c r="R9" i="1"/>
  <c r="M15" i="8"/>
  <c r="H8" i="1"/>
  <c r="F8" i="8" s="1"/>
  <c r="E8" i="8"/>
  <c r="T7" i="4"/>
  <c r="H6" i="4"/>
  <c r="H24" i="4" s="1"/>
  <c r="Z5" i="4" s="1"/>
  <c r="P8" i="1"/>
  <c r="M7" i="1"/>
  <c r="L7" i="1"/>
  <c r="J7" i="8" s="1"/>
  <c r="G7" i="1"/>
  <c r="M6" i="1"/>
  <c r="K6" i="8" s="1"/>
  <c r="L6" i="1"/>
  <c r="J6" i="8" s="1"/>
  <c r="M13" i="8" l="1"/>
  <c r="M24" i="4"/>
  <c r="K7" i="8"/>
  <c r="F13" i="8"/>
  <c r="E7" i="8"/>
  <c r="R8" i="1"/>
  <c r="M8" i="8"/>
  <c r="P7" i="1"/>
  <c r="H7" i="1"/>
  <c r="F7" i="8" s="1"/>
  <c r="P6" i="1"/>
  <c r="G6" i="3"/>
  <c r="M5" i="3"/>
  <c r="L5" i="3"/>
  <c r="L10" i="3" s="1"/>
  <c r="AQ4" i="3" s="1"/>
  <c r="G5" i="3"/>
  <c r="H5" i="3" s="1"/>
  <c r="P4" i="3"/>
  <c r="G4" i="3"/>
  <c r="AQ5" i="3" l="1"/>
  <c r="W8" i="3"/>
  <c r="H6" i="3"/>
  <c r="P39" i="8" s="1"/>
  <c r="O39" i="8"/>
  <c r="U33" i="8"/>
  <c r="M10" i="3"/>
  <c r="AW4" i="3" s="1"/>
  <c r="H4" i="3"/>
  <c r="H10" i="3" s="1"/>
  <c r="G10" i="3"/>
  <c r="AF4" i="3" s="1"/>
  <c r="AF5" i="3" s="1"/>
  <c r="T33" i="8"/>
  <c r="N5" i="3"/>
  <c r="N10" i="3" s="1"/>
  <c r="R7" i="1"/>
  <c r="M7" i="8"/>
  <c r="R6" i="1"/>
  <c r="M6" i="8"/>
  <c r="M5" i="1"/>
  <c r="K5" i="8" s="1"/>
  <c r="L5" i="1"/>
  <c r="J5" i="8" s="1"/>
  <c r="M4" i="1"/>
  <c r="M25" i="1" s="1"/>
  <c r="AY4" i="1" s="1"/>
  <c r="L4" i="1"/>
  <c r="L25" i="1" s="1"/>
  <c r="AS4" i="1" s="1"/>
  <c r="G5" i="1"/>
  <c r="G6" i="1"/>
  <c r="G4" i="1"/>
  <c r="G25" i="1" s="1"/>
  <c r="AH4" i="1" s="1"/>
  <c r="AH5" i="1" s="1"/>
  <c r="E101" i="11" l="1"/>
  <c r="AW5" i="3"/>
  <c r="W9" i="3"/>
  <c r="Y9" i="1"/>
  <c r="E110" i="11" s="1"/>
  <c r="AY5" i="1"/>
  <c r="Y8" i="1"/>
  <c r="AS5" i="1"/>
  <c r="J4" i="8"/>
  <c r="K4" i="8"/>
  <c r="V33" i="8"/>
  <c r="O5" i="3"/>
  <c r="H5" i="1"/>
  <c r="F5" i="8" s="1"/>
  <c r="E5" i="8"/>
  <c r="E4" i="8"/>
  <c r="H6" i="1"/>
  <c r="F6" i="8" s="1"/>
  <c r="E6" i="8"/>
  <c r="H4" i="1"/>
  <c r="H25" i="1" s="1"/>
  <c r="P4" i="1"/>
  <c r="P25" i="1" s="1"/>
  <c r="P5" i="1"/>
  <c r="I91" i="11" l="1"/>
  <c r="E143" i="11"/>
  <c r="E111" i="11"/>
  <c r="W10" i="3"/>
  <c r="E153" i="11"/>
  <c r="I82" i="11"/>
  <c r="J82" i="11" s="1"/>
  <c r="Y11" i="1"/>
  <c r="E100" i="11"/>
  <c r="P5" i="3"/>
  <c r="O10" i="3"/>
  <c r="F4" i="8"/>
  <c r="R5" i="1"/>
  <c r="M5" i="8"/>
  <c r="M4" i="8"/>
  <c r="R4" i="1"/>
  <c r="J91" i="11" l="1"/>
  <c r="I92" i="11"/>
  <c r="E154" i="11"/>
  <c r="E157" i="11" s="1"/>
  <c r="I144" i="11" s="1"/>
  <c r="J144" i="11" s="1"/>
  <c r="E142" i="11"/>
  <c r="I81" i="11"/>
  <c r="V4" i="2"/>
  <c r="V6" i="2"/>
  <c r="E105" i="11" s="1"/>
  <c r="E147" i="11" s="1"/>
  <c r="E150" i="11" s="1"/>
  <c r="I143" i="11" s="1"/>
  <c r="V7" i="2"/>
  <c r="J92" i="11" l="1"/>
  <c r="I93" i="11"/>
  <c r="J93" i="11" s="1"/>
  <c r="I84" i="11"/>
  <c r="J84" i="11" s="1"/>
  <c r="J81" i="11"/>
  <c r="I146" i="11"/>
  <c r="J146" i="11" s="1"/>
  <c r="J143" i="11"/>
</calcChain>
</file>

<file path=xl/sharedStrings.xml><?xml version="1.0" encoding="utf-8"?>
<sst xmlns="http://schemas.openxmlformats.org/spreadsheetml/2006/main" count="881" uniqueCount="345">
  <si>
    <t>N° Certificado</t>
  </si>
  <si>
    <t>Fecha</t>
  </si>
  <si>
    <t>Factura</t>
  </si>
  <si>
    <t>Subtotal</t>
  </si>
  <si>
    <t>IVA</t>
  </si>
  <si>
    <t>Total</t>
  </si>
  <si>
    <t>Monto a pagar</t>
  </si>
  <si>
    <t>Pago</t>
  </si>
  <si>
    <t xml:space="preserve">Saldo </t>
  </si>
  <si>
    <t>Acopio 1</t>
  </si>
  <si>
    <t>Acopio 2</t>
  </si>
  <si>
    <t>Acopio 3</t>
  </si>
  <si>
    <t>Comentario</t>
  </si>
  <si>
    <t>Fecha factura</t>
  </si>
  <si>
    <t>Mes certificado</t>
  </si>
  <si>
    <t>Fecha pago</t>
  </si>
  <si>
    <t>primero se hizo factura A-4589 y se anulo mediante NC 1728</t>
  </si>
  <si>
    <t>Carta IVA</t>
  </si>
  <si>
    <t xml:space="preserve">OP GP </t>
  </si>
  <si>
    <t>036</t>
  </si>
  <si>
    <t>038</t>
  </si>
  <si>
    <t>040</t>
  </si>
  <si>
    <t>042</t>
  </si>
  <si>
    <t>045</t>
  </si>
  <si>
    <t>1 (adelanto)</t>
  </si>
  <si>
    <t>2 (adelanto)</t>
  </si>
  <si>
    <t>3 (adelanto)</t>
  </si>
  <si>
    <t>4 (adelanto)</t>
  </si>
  <si>
    <t>5 (adelanto)</t>
  </si>
  <si>
    <t>Monto certificado</t>
  </si>
  <si>
    <t>% Ajuste</t>
  </si>
  <si>
    <t>Variacion</t>
  </si>
  <si>
    <t>OP GP</t>
  </si>
  <si>
    <t>Aportes patronales por partidas exentas</t>
  </si>
  <si>
    <t>056B</t>
  </si>
  <si>
    <t>051B</t>
  </si>
  <si>
    <t>052B</t>
  </si>
  <si>
    <t>053B</t>
  </si>
  <si>
    <t>059</t>
  </si>
  <si>
    <t>054B</t>
  </si>
  <si>
    <t>055B</t>
  </si>
  <si>
    <t>A-4823</t>
  </si>
  <si>
    <t>A-4824</t>
  </si>
  <si>
    <t>Presupuesto</t>
  </si>
  <si>
    <t>Avance</t>
  </si>
  <si>
    <t>Porcentaje</t>
  </si>
  <si>
    <t xml:space="preserve">Garantía </t>
  </si>
  <si>
    <t>Garantía (Retención fondo reparo)</t>
  </si>
  <si>
    <t>Canje unidades (Retención complementaria)</t>
  </si>
  <si>
    <t>061</t>
  </si>
  <si>
    <t>ajuste 4 y 5</t>
  </si>
  <si>
    <t>Mar-25 y Abr-25</t>
  </si>
  <si>
    <t>063</t>
  </si>
  <si>
    <t>A-4869</t>
  </si>
  <si>
    <t>064</t>
  </si>
  <si>
    <t>054 + 055</t>
  </si>
  <si>
    <t xml:space="preserve">Retención de garantía </t>
  </si>
  <si>
    <t>AD OC 02</t>
  </si>
  <si>
    <t>AD OC 03</t>
  </si>
  <si>
    <t>OC</t>
  </si>
  <si>
    <t>AD OC 04</t>
  </si>
  <si>
    <t>067</t>
  </si>
  <si>
    <t>068</t>
  </si>
  <si>
    <t>Montos contratados</t>
  </si>
  <si>
    <t>Concepto</t>
  </si>
  <si>
    <t>Obra pesos</t>
  </si>
  <si>
    <t xml:space="preserve">Obra USD </t>
  </si>
  <si>
    <t>Obra USD CIF</t>
  </si>
  <si>
    <t>048</t>
  </si>
  <si>
    <t>Saldo a la fecha</t>
  </si>
  <si>
    <t>Acopio 1
 (2%)</t>
  </si>
  <si>
    <t>Acopio pago</t>
  </si>
  <si>
    <t>Nuevo % desacopio</t>
  </si>
  <si>
    <t>A-4657</t>
  </si>
  <si>
    <t>A-4658</t>
  </si>
  <si>
    <t>A-4685</t>
  </si>
  <si>
    <t>A-4714</t>
  </si>
  <si>
    <t>A-4736</t>
  </si>
  <si>
    <t>A-4787</t>
  </si>
  <si>
    <t>A-4858</t>
  </si>
  <si>
    <t>A-4848</t>
  </si>
  <si>
    <t>A-4842</t>
  </si>
  <si>
    <t>A-4880</t>
  </si>
  <si>
    <t>A-4916</t>
  </si>
  <si>
    <t>$</t>
  </si>
  <si>
    <t>USD</t>
  </si>
  <si>
    <t>Básico diciembre 2024</t>
  </si>
  <si>
    <t>Básico febrero 2025</t>
  </si>
  <si>
    <t>Básico marzo 2025</t>
  </si>
  <si>
    <t>Básico abril 2025</t>
  </si>
  <si>
    <t>Acopio financiero 1 (2%)</t>
  </si>
  <si>
    <t>AP diciembre 2024</t>
  </si>
  <si>
    <t>AP enero 2025</t>
  </si>
  <si>
    <t>AP febrero 2025</t>
  </si>
  <si>
    <t>AP marzo 2025</t>
  </si>
  <si>
    <t>AP abril 2025</t>
  </si>
  <si>
    <t>Básico mayo 2025</t>
  </si>
  <si>
    <t>Básico enero 2025</t>
  </si>
  <si>
    <t>Básico junio 2025</t>
  </si>
  <si>
    <t>Básico julio 2025 y AP mayo y junio</t>
  </si>
  <si>
    <t>Básico agosto 2025 y AP julio</t>
  </si>
  <si>
    <t>AP adicionales julio 2025</t>
  </si>
  <si>
    <t>A-4881</t>
  </si>
  <si>
    <t>A-4882</t>
  </si>
  <si>
    <t>A-4917</t>
  </si>
  <si>
    <t>A-4954</t>
  </si>
  <si>
    <t>071</t>
  </si>
  <si>
    <t>ND 01 por aportes patronales</t>
  </si>
  <si>
    <t>071 (ND 01)</t>
  </si>
  <si>
    <t>A-4769  (A1776)</t>
  </si>
  <si>
    <t>A-4770  (A1776)</t>
  </si>
  <si>
    <t>A-4771  (A1776)</t>
  </si>
  <si>
    <t>A-4772  (A1776)</t>
  </si>
  <si>
    <t>A-4804  (A1776)</t>
  </si>
  <si>
    <t>Acopio 2 
(1,5%)</t>
  </si>
  <si>
    <t>Acopio 3
(1,5%)</t>
  </si>
  <si>
    <t>074</t>
  </si>
  <si>
    <t>076 (ND 02)</t>
  </si>
  <si>
    <t>075</t>
  </si>
  <si>
    <t>Anticipo ascensores etapa 2</t>
  </si>
  <si>
    <t xml:space="preserve">Cerificado 11 Octubre y AP Septiembre 2025 - aportes patronales </t>
  </si>
  <si>
    <t>Básico septiembre y AP agosto - aportes patronales</t>
  </si>
  <si>
    <t>ND 02 por aportes patronales</t>
  </si>
  <si>
    <t xml:space="preserve">076 </t>
  </si>
  <si>
    <t>076</t>
  </si>
  <si>
    <t>A-5017</t>
  </si>
  <si>
    <t>082</t>
  </si>
  <si>
    <t>082 (ND 03)</t>
  </si>
  <si>
    <t xml:space="preserve">Cerificado 12 Noviembre y AP Octubre 2025 - aportes patronales </t>
  </si>
  <si>
    <t>A-5067</t>
  </si>
  <si>
    <t>Desacopio 2 no correspondía en certificado anterior</t>
  </si>
  <si>
    <t>082B</t>
  </si>
  <si>
    <t xml:space="preserve">ND 03 por aportes patronales </t>
  </si>
  <si>
    <t xml:space="preserve">A-4992 </t>
  </si>
  <si>
    <t>ND 04 por aportes patronales</t>
  </si>
  <si>
    <t>084</t>
  </si>
  <si>
    <t>Certidicado 13 Diciembre - aportes patronales</t>
  </si>
  <si>
    <t>084 (ND 04)</t>
  </si>
  <si>
    <t>A-5144</t>
  </si>
  <si>
    <t>A-5141</t>
  </si>
  <si>
    <t>A-5108 (A-1859)</t>
  </si>
  <si>
    <t>A-5064 (A-1829)</t>
  </si>
  <si>
    <t>A-4992 (A-1822)</t>
  </si>
  <si>
    <t>A-4953 (A-1790)</t>
  </si>
  <si>
    <t>A-4914 (A-1790)</t>
  </si>
  <si>
    <t>A-4808 (A-1776)</t>
  </si>
  <si>
    <t>089</t>
  </si>
  <si>
    <t>AP noviembre y AP provisorio diciembre</t>
  </si>
  <si>
    <t>Dic-25 (provisorio)</t>
  </si>
  <si>
    <t>Dic-25 (definitivo)</t>
  </si>
  <si>
    <t>091</t>
  </si>
  <si>
    <t>Certificado 14 Enero - aportes patronales - diferencia AP definitivo diciembre</t>
  </si>
  <si>
    <t>091 (ND 05)</t>
  </si>
  <si>
    <t>NC1880</t>
  </si>
  <si>
    <t>ND 05 por aportes patronales</t>
  </si>
  <si>
    <t>A-5191 (A-1881)</t>
  </si>
  <si>
    <t>094</t>
  </si>
  <si>
    <t>Certificado 15 febrero y AP enero</t>
  </si>
  <si>
    <t>094 (ND 06)</t>
  </si>
  <si>
    <t>Se decuenta diferencia diciembre</t>
  </si>
  <si>
    <t>ND 06 por aportes patronales</t>
  </si>
  <si>
    <t>A-5236</t>
  </si>
  <si>
    <t>A-5235 (A-1899)</t>
  </si>
  <si>
    <t>095</t>
  </si>
  <si>
    <t>A-5245</t>
  </si>
  <si>
    <t>Anticipo financiero 3</t>
  </si>
  <si>
    <t xml:space="preserve">Anticipo financiero 2 </t>
  </si>
  <si>
    <t>Acumulado a la fecha</t>
  </si>
  <si>
    <t>105 (ND 07)</t>
  </si>
  <si>
    <t>105</t>
  </si>
  <si>
    <t>ND 07 por aportes patronales</t>
  </si>
  <si>
    <t>107</t>
  </si>
  <si>
    <t>Avance ascensores marzo 2026, pasa de CIF a plaza</t>
  </si>
  <si>
    <t>Comentarios</t>
  </si>
  <si>
    <t>ND 008B</t>
  </si>
  <si>
    <t>107 (ND 08B)</t>
  </si>
  <si>
    <t>Certificado 16 marzo 2026 $ y AP febrero</t>
  </si>
  <si>
    <t>Certificado 2 marzo 2026 USD plaza</t>
  </si>
  <si>
    <t>AyD 1 USD Plaza</t>
  </si>
  <si>
    <t>Certificado 1 marzo 2026 USD CIF - AyD 1 USD CIF</t>
  </si>
  <si>
    <t>AyD junio 2025 OC02 OC03</t>
  </si>
  <si>
    <t>Adicionales julio 2025 y AP adicionales junio</t>
  </si>
  <si>
    <t>A-5341</t>
  </si>
  <si>
    <t>A-5343</t>
  </si>
  <si>
    <t>A-5342</t>
  </si>
  <si>
    <t>A-5345</t>
  </si>
  <si>
    <t>Avance sub contratos marzo 2026, pasa de CIF a plaza</t>
  </si>
  <si>
    <t>ND 009</t>
  </si>
  <si>
    <t>Avance ascensores marzo 2026 pasa de CIF a Plaza</t>
  </si>
  <si>
    <t>A-1921</t>
  </si>
  <si>
    <t>A-5344</t>
  </si>
  <si>
    <t>ND 09</t>
  </si>
  <si>
    <t>109</t>
  </si>
  <si>
    <t>Complemento 08B - Certificado 1 marzo 2026 Aumentos y Disminuciones USD CIF (adm de subcontratos)</t>
  </si>
  <si>
    <t>Complemento 108 - Certificado 1 marzo 2026 Aumentos y Disminuciones USD Plaza (adm de subcontratos)</t>
  </si>
  <si>
    <t>Se paga todo junto</t>
  </si>
  <si>
    <t>Total pago acopio</t>
  </si>
  <si>
    <t>Desacopio 1</t>
  </si>
  <si>
    <t>Desacopio 2</t>
  </si>
  <si>
    <t>Desacopio 3</t>
  </si>
  <si>
    <t xml:space="preserve">Total desacopiado </t>
  </si>
  <si>
    <t xml:space="preserve">Saldo acopio </t>
  </si>
  <si>
    <t>TC</t>
  </si>
  <si>
    <t>A-5383</t>
  </si>
  <si>
    <t>110</t>
  </si>
  <si>
    <t>ND 010 por aportes patronales</t>
  </si>
  <si>
    <t>A-5384</t>
  </si>
  <si>
    <t>Certificado 17 abril $ y AP marzo</t>
  </si>
  <si>
    <t>110 (010)</t>
  </si>
  <si>
    <t>A-5385</t>
  </si>
  <si>
    <t>A-5386</t>
  </si>
  <si>
    <t>Certificado 3 abril USD plaza</t>
  </si>
  <si>
    <t>A-5388</t>
  </si>
  <si>
    <t>Avance ascensores y subcontratos abril 2026, pasa de CIF a plaza</t>
  </si>
  <si>
    <t>A-1927</t>
  </si>
  <si>
    <t>ND 011</t>
  </si>
  <si>
    <t>Certificado 2 abril 2026 USD CIF - AyD 2 USD CIF</t>
  </si>
  <si>
    <t>112 (ND 011)</t>
  </si>
  <si>
    <t>AyD 2 USD Plaza</t>
  </si>
  <si>
    <t>A-5477</t>
  </si>
  <si>
    <t>A-5478</t>
  </si>
  <si>
    <t>116</t>
  </si>
  <si>
    <t>ND 012 por aportes patronales</t>
  </si>
  <si>
    <t>A-5479</t>
  </si>
  <si>
    <t>A-5481</t>
  </si>
  <si>
    <t>A-5483</t>
  </si>
  <si>
    <t>NC A-1950</t>
  </si>
  <si>
    <t xml:space="preserve"> </t>
  </si>
  <si>
    <t>A-5480</t>
  </si>
  <si>
    <t>A-1949</t>
  </si>
  <si>
    <t>ND 014</t>
  </si>
  <si>
    <t>Avance ascensores y subcontratos mayo 2026, pasa de CIF a plaza</t>
  </si>
  <si>
    <t>ND 013</t>
  </si>
  <si>
    <t>Certificado 4 mayo USD Plaza</t>
  </si>
  <si>
    <t>Certificado 3 mayo USD CIF</t>
  </si>
  <si>
    <t>Certificado AyD abril 2026 USD Plaza</t>
  </si>
  <si>
    <t>Certificado AyD mayo $</t>
  </si>
  <si>
    <t>Certificado AyD abril 2026 USD CIF</t>
  </si>
  <si>
    <t>116 (ND 012)</t>
  </si>
  <si>
    <t>Certificado 18 mayo $ y AP abil - descuento aportes patronales</t>
  </si>
  <si>
    <t>Se paga con certificado básico</t>
  </si>
  <si>
    <t xml:space="preserve">Acopio utilizado y saldo </t>
  </si>
  <si>
    <t xml:space="preserve">Obra USD Plaza </t>
  </si>
  <si>
    <t>Pagos acopio y cálculo % desacopio</t>
  </si>
  <si>
    <t>Monto contratado</t>
  </si>
  <si>
    <t>Resumen</t>
  </si>
  <si>
    <t>Acopio utilzado</t>
  </si>
  <si>
    <t>Garantía retenida</t>
  </si>
  <si>
    <t>Aportes patronales</t>
  </si>
  <si>
    <t>IVA certificados</t>
  </si>
  <si>
    <t>Canje unidades</t>
  </si>
  <si>
    <t>Monto avanzado</t>
  </si>
  <si>
    <t>Total IVA inc</t>
  </si>
  <si>
    <t>Contrato</t>
  </si>
  <si>
    <t>Obra constructora pesos</t>
  </si>
  <si>
    <t>Obra constructora USD Plaza</t>
  </si>
  <si>
    <t>Obra constructora USD CIF</t>
  </si>
  <si>
    <t>Acopios</t>
  </si>
  <si>
    <t>Garantía</t>
  </si>
  <si>
    <t>Acopio</t>
  </si>
  <si>
    <t>Avance pendiente</t>
  </si>
  <si>
    <t>Garantía pendiente</t>
  </si>
  <si>
    <t>Canje</t>
  </si>
  <si>
    <t>Canje utilizado</t>
  </si>
  <si>
    <t>Canje pendiente</t>
  </si>
  <si>
    <t>Acopio pendiente</t>
  </si>
  <si>
    <t>IVA contrato</t>
  </si>
  <si>
    <t>IVA avanzado</t>
  </si>
  <si>
    <t>IVA pendiente</t>
  </si>
  <si>
    <t>Avance básico</t>
  </si>
  <si>
    <t>Monto avanzado con IVA</t>
  </si>
  <si>
    <t>Básico</t>
  </si>
  <si>
    <t>AP</t>
  </si>
  <si>
    <t>AP adicionales</t>
  </si>
  <si>
    <t>AYD pesos</t>
  </si>
  <si>
    <t>AYD USD Plaza</t>
  </si>
  <si>
    <t>AYD USD CIF</t>
  </si>
  <si>
    <t>Saldo</t>
  </si>
  <si>
    <t>Avance - moneda original</t>
  </si>
  <si>
    <t>Avance - USD</t>
  </si>
  <si>
    <t>Acopios utilizados</t>
  </si>
  <si>
    <t>Certificados básicos</t>
  </si>
  <si>
    <t>Canje unidades retenida</t>
  </si>
  <si>
    <t>LIV 1 - 101</t>
  </si>
  <si>
    <t>LIV 2 - 102</t>
  </si>
  <si>
    <t>Contrato - Moneda original</t>
  </si>
  <si>
    <t>Contrato - USD</t>
  </si>
  <si>
    <t>Canje - unidades</t>
  </si>
  <si>
    <t>LIV 2 - 106</t>
  </si>
  <si>
    <t>LIV 3 - 101</t>
  </si>
  <si>
    <t>*Etapa 1 y 2</t>
  </si>
  <si>
    <t>Mes</t>
  </si>
  <si>
    <t>OC 2</t>
  </si>
  <si>
    <t>OC 3</t>
  </si>
  <si>
    <t>OC 4</t>
  </si>
  <si>
    <t>OC 6</t>
  </si>
  <si>
    <t>OC 13</t>
  </si>
  <si>
    <t>Jun-25</t>
  </si>
  <si>
    <t>Jul-25</t>
  </si>
  <si>
    <t>May-26</t>
  </si>
  <si>
    <t>Subtotal por OC</t>
  </si>
  <si>
    <t>Subtotal por mes</t>
  </si>
  <si>
    <t>Ascensores</t>
  </si>
  <si>
    <t>Admin subcontratos</t>
  </si>
  <si>
    <t>Subtotal por rubro</t>
  </si>
  <si>
    <t>% Ajuste paramétrico actual</t>
  </si>
  <si>
    <t>Pago neto</t>
  </si>
  <si>
    <t>Composición pago y saldo - consolidado</t>
  </si>
  <si>
    <t>Subtotal a pagar</t>
  </si>
  <si>
    <t>ND 015 por aportes patronales</t>
  </si>
  <si>
    <t>123</t>
  </si>
  <si>
    <t>ND 016</t>
  </si>
  <si>
    <t>Avance ascensores y subcontratos junio 2026, pasa de CIF a plaza</t>
  </si>
  <si>
    <t>A-5530</t>
  </si>
  <si>
    <t>A-1965</t>
  </si>
  <si>
    <t>A-5527</t>
  </si>
  <si>
    <t>A-5531</t>
  </si>
  <si>
    <t>A-5529</t>
  </si>
  <si>
    <t>AD OC 06</t>
  </si>
  <si>
    <t>AD OC 13</t>
  </si>
  <si>
    <t>A-1963</t>
  </si>
  <si>
    <t>A-5528</t>
  </si>
  <si>
    <t>Avance básico USD CIF</t>
  </si>
  <si>
    <t>Aumento USD Plaza</t>
  </si>
  <si>
    <t>Disminución USD CIF</t>
  </si>
  <si>
    <t>ND 017</t>
  </si>
  <si>
    <t>Certificado 19 junio 2026 y AP mayo 2026</t>
  </si>
  <si>
    <t>AP AyD mayo 2026</t>
  </si>
  <si>
    <t>Certificado 5 junio 2026 USD Plaza</t>
  </si>
  <si>
    <t>Certificaado 4 junio 2026 USD CIF</t>
  </si>
  <si>
    <t>AyD junio 2026 USD Plaza</t>
  </si>
  <si>
    <t>AyD junio 2026 USD CIF</t>
  </si>
  <si>
    <t>Se paga con AP básico</t>
  </si>
  <si>
    <t>123 (ND 15)</t>
  </si>
  <si>
    <t>ETAPA 1</t>
  </si>
  <si>
    <t>Fecha a pagar</t>
  </si>
  <si>
    <t>Acopio a pagar</t>
  </si>
  <si>
    <t>Acop 1 total pesos</t>
  </si>
  <si>
    <t>Acop 2 total pesos</t>
  </si>
  <si>
    <t>Acop 3 total pesos</t>
  </si>
  <si>
    <t>ETAPA 2 - proyectado para flujo</t>
  </si>
  <si>
    <t>sept-26</t>
  </si>
  <si>
    <t xml:space="preserve">tc </t>
  </si>
  <si>
    <t>A-5545 (A-1964)</t>
  </si>
  <si>
    <t xml:space="preserve">Se descuenta de AP básico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</si>
</sst>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0.0000%"/>
    <numFmt numFmtId="166" formatCode="0.0%"/>
    <numFmt numFmtId="167" formatCode="_-* #,##0.0_-;\-* #,##0.0_-;_-* &quot;-&quot;??_-;_-@_-"/>
    <numFmt numFmtId="168" formatCode="_-* #,##0.00_-;\-* #,##0.00_-;_-* &quot;-&quot;?_-;_-@_-"/>
    <numFmt numFmtId="169" formatCode="_-* #,##0.0000_-;\-* #,##0.0000_-;_-* &quot;-&quot;??_-;_-@_-"/>
    <numFmt numFmtId="170" formatCode="0.000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4"/>
      <color rgb="FF5959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230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7" fontId="0" fillId="2" borderId="1" xfId="0" applyNumberFormat="1" applyFill="1" applyBorder="1"/>
    <xf numFmtId="164" fontId="2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14" fontId="0" fillId="2" borderId="1" xfId="0" applyNumberFormat="1" applyFill="1" applyBorder="1"/>
    <xf numFmtId="164" fontId="0" fillId="2" borderId="0" xfId="1" applyNumberFormat="1" applyFont="1" applyFill="1" applyBorder="1"/>
    <xf numFmtId="43" fontId="0" fillId="2" borderId="0" xfId="1" applyFont="1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2" borderId="1" xfId="0" applyNumberFormat="1" applyFill="1" applyBorder="1" applyAlignment="1">
      <alignment horizontal="right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3" fontId="0" fillId="2" borderId="0" xfId="0" applyNumberFormat="1" applyFill="1"/>
    <xf numFmtId="10" fontId="0" fillId="2" borderId="1" xfId="2" applyNumberFormat="1" applyFont="1" applyFill="1" applyBorder="1"/>
    <xf numFmtId="164" fontId="0" fillId="2" borderId="0" xfId="0" applyNumberFormat="1" applyFill="1"/>
    <xf numFmtId="164" fontId="2" fillId="2" borderId="0" xfId="1" applyNumberFormat="1" applyFont="1" applyFill="1"/>
    <xf numFmtId="164" fontId="2" fillId="2" borderId="1" xfId="1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7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64" fontId="2" fillId="2" borderId="1" xfId="0" applyNumberFormat="1" applyFont="1" applyFill="1" applyBorder="1"/>
    <xf numFmtId="164" fontId="0" fillId="2" borderId="1" xfId="0" applyNumberFormat="1" applyFill="1" applyBorder="1"/>
    <xf numFmtId="49" fontId="0" fillId="2" borderId="1" xfId="1" applyNumberFormat="1" applyFont="1" applyFill="1" applyBorder="1" applyAlignment="1">
      <alignment horizontal="center"/>
    </xf>
    <xf numFmtId="0" fontId="2" fillId="2" borderId="0" xfId="0" applyFont="1" applyFill="1"/>
    <xf numFmtId="164" fontId="0" fillId="0" borderId="1" xfId="1" applyNumberFormat="1" applyFont="1" applyBorder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0" fillId="0" borderId="1" xfId="2" applyNumberFormat="1" applyFont="1" applyBorder="1"/>
    <xf numFmtId="14" fontId="0" fillId="0" borderId="0" xfId="1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1" applyNumberFormat="1" applyFont="1" applyBorder="1"/>
    <xf numFmtId="0" fontId="0" fillId="0" borderId="0" xfId="0" applyAlignment="1">
      <alignment horizontal="center" vertical="center"/>
    </xf>
    <xf numFmtId="164" fontId="0" fillId="0" borderId="0" xfId="1" applyNumberFormat="1" applyFont="1" applyBorder="1" applyAlignment="1">
      <alignment horizontal="center"/>
    </xf>
    <xf numFmtId="165" fontId="0" fillId="0" borderId="0" xfId="2" applyNumberFormat="1" applyFont="1" applyBorder="1"/>
    <xf numFmtId="0" fontId="2" fillId="0" borderId="7" xfId="0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0" fontId="0" fillId="0" borderId="1" xfId="2" applyNumberFormat="1" applyFont="1" applyBorder="1"/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2" borderId="5" xfId="1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/>
    </xf>
    <xf numFmtId="164" fontId="0" fillId="2" borderId="5" xfId="1" applyNumberFormat="1" applyFont="1" applyFill="1" applyBorder="1"/>
    <xf numFmtId="164" fontId="2" fillId="2" borderId="8" xfId="1" applyNumberFormat="1" applyFon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2" borderId="4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vertical="center"/>
    </xf>
    <xf numFmtId="49" fontId="0" fillId="2" borderId="1" xfId="1" applyNumberFormat="1" applyFont="1" applyFill="1" applyBorder="1" applyAlignment="1"/>
    <xf numFmtId="14" fontId="0" fillId="2" borderId="6" xfId="0" applyNumberFormat="1" applyFill="1" applyBorder="1"/>
    <xf numFmtId="14" fontId="0" fillId="0" borderId="6" xfId="0" applyNumberFormat="1" applyBorder="1" applyAlignment="1">
      <alignment horizontal="right"/>
    </xf>
    <xf numFmtId="164" fontId="0" fillId="2" borderId="5" xfId="0" applyNumberFormat="1" applyFill="1" applyBorder="1"/>
    <xf numFmtId="14" fontId="0" fillId="0" borderId="1" xfId="0" applyNumberFormat="1" applyBorder="1" applyAlignment="1">
      <alignment horizontal="right"/>
    </xf>
    <xf numFmtId="0" fontId="0" fillId="2" borderId="5" xfId="0" applyFill="1" applyBorder="1"/>
    <xf numFmtId="166" fontId="0" fillId="0" borderId="1" xfId="2" applyNumberFormat="1" applyFont="1" applyBorder="1"/>
    <xf numFmtId="43" fontId="0" fillId="2" borderId="1" xfId="1" applyFont="1" applyFill="1" applyBorder="1"/>
    <xf numFmtId="9" fontId="5" fillId="0" borderId="8" xfId="0" applyNumberFormat="1" applyFont="1" applyBorder="1" applyAlignment="1">
      <alignment horizontal="center"/>
    </xf>
    <xf numFmtId="166" fontId="5" fillId="0" borderId="6" xfId="0" applyNumberFormat="1" applyFont="1" applyBorder="1" applyAlignment="1">
      <alignment horizontal="center"/>
    </xf>
    <xf numFmtId="165" fontId="0" fillId="2" borderId="1" xfId="2" applyNumberFormat="1" applyFont="1" applyFill="1" applyBorder="1"/>
    <xf numFmtId="0" fontId="0" fillId="2" borderId="3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/>
    </xf>
    <xf numFmtId="14" fontId="0" fillId="2" borderId="0" xfId="0" applyNumberFormat="1" applyFill="1"/>
    <xf numFmtId="164" fontId="0" fillId="0" borderId="1" xfId="1" applyNumberFormat="1" applyFont="1" applyBorder="1" applyAlignment="1"/>
    <xf numFmtId="43" fontId="0" fillId="0" borderId="1" xfId="1" applyFont="1" applyBorder="1" applyAlignment="1"/>
    <xf numFmtId="0" fontId="0" fillId="2" borderId="0" xfId="0" applyFill="1" applyAlignment="1">
      <alignment horizontal="right"/>
    </xf>
    <xf numFmtId="17" fontId="0" fillId="2" borderId="0" xfId="0" applyNumberFormat="1" applyFill="1"/>
    <xf numFmtId="49" fontId="0" fillId="2" borderId="0" xfId="1" applyNumberFormat="1" applyFont="1" applyFill="1" applyBorder="1" applyAlignment="1">
      <alignment horizontal="center"/>
    </xf>
    <xf numFmtId="10" fontId="0" fillId="2" borderId="0" xfId="2" applyNumberFormat="1" applyFont="1" applyFill="1" applyBorder="1"/>
    <xf numFmtId="164" fontId="0" fillId="2" borderId="1" xfId="1" applyNumberFormat="1" applyFont="1" applyFill="1" applyBorder="1" applyAlignment="1">
      <alignment vertical="center"/>
    </xf>
    <xf numFmtId="10" fontId="0" fillId="2" borderId="1" xfId="2" applyNumberFormat="1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horizontal="center"/>
    </xf>
    <xf numFmtId="167" fontId="2" fillId="2" borderId="3" xfId="1" applyNumberFormat="1" applyFont="1" applyFill="1" applyBorder="1" applyAlignment="1">
      <alignment horizontal="center"/>
    </xf>
    <xf numFmtId="167" fontId="0" fillId="2" borderId="1" xfId="1" applyNumberFormat="1" applyFont="1" applyFill="1" applyBorder="1"/>
    <xf numFmtId="167" fontId="0" fillId="2" borderId="0" xfId="1" applyNumberFormat="1" applyFont="1" applyFill="1"/>
    <xf numFmtId="0" fontId="2" fillId="0" borderId="3" xfId="0" applyFont="1" applyBorder="1" applyAlignment="1">
      <alignment horizontal="center"/>
    </xf>
    <xf numFmtId="0" fontId="2" fillId="0" borderId="0" xfId="0" applyFont="1"/>
    <xf numFmtId="9" fontId="0" fillId="0" borderId="1" xfId="2" applyFont="1" applyBorder="1"/>
    <xf numFmtId="164" fontId="0" fillId="2" borderId="1" xfId="1" applyNumberFormat="1" applyFont="1" applyFill="1" applyBorder="1" applyAlignment="1">
      <alignment horizontal="center"/>
    </xf>
    <xf numFmtId="0" fontId="0" fillId="2" borderId="3" xfId="0" applyFill="1" applyBorder="1"/>
    <xf numFmtId="14" fontId="0" fillId="2" borderId="3" xfId="0" applyNumberFormat="1" applyFill="1" applyBorder="1"/>
    <xf numFmtId="164" fontId="0" fillId="2" borderId="3" xfId="1" applyNumberFormat="1" applyFont="1" applyFill="1" applyBorder="1"/>
    <xf numFmtId="10" fontId="0" fillId="2" borderId="3" xfId="2" applyNumberFormat="1" applyFont="1" applyFill="1" applyBorder="1"/>
    <xf numFmtId="9" fontId="0" fillId="2" borderId="0" xfId="2" applyFont="1" applyFill="1"/>
    <xf numFmtId="9" fontId="0" fillId="2" borderId="1" xfId="0" applyNumberFormat="1" applyFill="1" applyBorder="1"/>
    <xf numFmtId="10" fontId="0" fillId="2" borderId="0" xfId="0" applyNumberFormat="1" applyFill="1"/>
    <xf numFmtId="10" fontId="2" fillId="2" borderId="1" xfId="0" applyNumberFormat="1" applyFont="1" applyFill="1" applyBorder="1"/>
    <xf numFmtId="166" fontId="0" fillId="2" borderId="1" xfId="0" applyNumberFormat="1" applyFill="1" applyBorder="1"/>
    <xf numFmtId="9" fontId="0" fillId="2" borderId="1" xfId="2" applyFont="1" applyFill="1" applyBorder="1"/>
    <xf numFmtId="166" fontId="0" fillId="2" borderId="1" xfId="2" applyNumberFormat="1" applyFont="1" applyFill="1" applyBorder="1"/>
    <xf numFmtId="164" fontId="0" fillId="2" borderId="1" xfId="1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3" fontId="0" fillId="2" borderId="0" xfId="0" applyNumberFormat="1" applyFill="1"/>
    <xf numFmtId="164" fontId="2" fillId="2" borderId="1" xfId="1" applyNumberFormat="1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0" fontId="0" fillId="2" borderId="1" xfId="0" applyNumberForma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0" xfId="0" applyFill="1" applyAlignment="1">
      <alignment horizontal="left" vertical="center"/>
    </xf>
    <xf numFmtId="0" fontId="0" fillId="2" borderId="19" xfId="0" applyFill="1" applyBorder="1"/>
    <xf numFmtId="10" fontId="0" fillId="2" borderId="17" xfId="0" applyNumberFormat="1" applyFill="1" applyBorder="1" applyAlignment="1">
      <alignment horizontal="center" vertical="center"/>
    </xf>
    <xf numFmtId="164" fontId="0" fillId="2" borderId="17" xfId="0" applyNumberFormat="1" applyFill="1" applyBorder="1"/>
    <xf numFmtId="9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64" fontId="2" fillId="2" borderId="0" xfId="1" applyNumberFormat="1" applyFont="1" applyFill="1" applyBorder="1"/>
    <xf numFmtId="9" fontId="2" fillId="2" borderId="0" xfId="2" applyFont="1" applyFill="1"/>
    <xf numFmtId="9" fontId="0" fillId="0" borderId="0" xfId="0" applyNumberFormat="1"/>
    <xf numFmtId="0" fontId="7" fillId="0" borderId="0" xfId="0" applyFont="1" applyAlignment="1">
      <alignment horizontal="center" vertical="center" readingOrder="1"/>
    </xf>
    <xf numFmtId="0" fontId="2" fillId="2" borderId="1" xfId="0" applyFont="1" applyFill="1" applyBorder="1"/>
    <xf numFmtId="49" fontId="0" fillId="0" borderId="1" xfId="0" quotePrefix="1" applyNumberFormat="1" applyBorder="1"/>
    <xf numFmtId="3" fontId="0" fillId="2" borderId="1" xfId="0" applyNumberFormat="1" applyFill="1" applyBorder="1"/>
    <xf numFmtId="164" fontId="0" fillId="0" borderId="1" xfId="1" quotePrefix="1" applyNumberFormat="1" applyFont="1" applyBorder="1"/>
    <xf numFmtId="10" fontId="2" fillId="2" borderId="1" xfId="2" applyNumberFormat="1" applyFont="1" applyFill="1" applyBorder="1"/>
    <xf numFmtId="164" fontId="1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7" fontId="0" fillId="2" borderId="0" xfId="1" applyNumberFormat="1" applyFont="1" applyFill="1" applyBorder="1"/>
    <xf numFmtId="43" fontId="0" fillId="0" borderId="0" xfId="1" applyFont="1" applyBorder="1" applyAlignment="1"/>
    <xf numFmtId="164" fontId="0" fillId="0" borderId="0" xfId="0" applyNumberFormat="1"/>
    <xf numFmtId="164" fontId="0" fillId="0" borderId="0" xfId="1" applyNumberFormat="1" applyFont="1" applyFill="1" applyBorder="1"/>
    <xf numFmtId="0" fontId="0" fillId="0" borderId="0" xfId="0" applyAlignment="1">
      <alignment horizontal="center"/>
    </xf>
    <xf numFmtId="169" fontId="0" fillId="0" borderId="0" xfId="0" applyNumberFormat="1"/>
    <xf numFmtId="164" fontId="0" fillId="0" borderId="1" xfId="0" applyNumberFormat="1" applyBorder="1"/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vertical="center"/>
    </xf>
    <xf numFmtId="165" fontId="0" fillId="0" borderId="0" xfId="2" applyNumberFormat="1" applyFont="1" applyBorder="1" applyAlignment="1">
      <alignment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2" borderId="1" xfId="1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70" fontId="0" fillId="0" borderId="3" xfId="2" applyNumberFormat="1" applyFont="1" applyBorder="1" applyAlignment="1">
      <alignment horizontal="center" vertical="center"/>
    </xf>
    <xf numFmtId="170" fontId="0" fillId="0" borderId="11" xfId="2" applyNumberFormat="1" applyFont="1" applyBorder="1" applyAlignment="1">
      <alignment horizontal="center" vertical="center"/>
    </xf>
    <xf numFmtId="170" fontId="0" fillId="0" borderId="4" xfId="2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4" fontId="0" fillId="0" borderId="1" xfId="1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" fontId="0" fillId="2" borderId="3" xfId="0" applyNumberForma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4" fontId="2" fillId="2" borderId="5" xfId="1" applyNumberFormat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center" vertical="center"/>
    </xf>
    <xf numFmtId="164" fontId="0" fillId="2" borderId="11" xfId="1" applyNumberFormat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0" fontId="0" fillId="2" borderId="3" xfId="2" applyNumberFormat="1" applyFont="1" applyFill="1" applyBorder="1" applyAlignment="1">
      <alignment horizontal="right" vertical="center"/>
    </xf>
    <xf numFmtId="10" fontId="0" fillId="2" borderId="4" xfId="2" applyNumberFormat="1" applyFont="1" applyFill="1" applyBorder="1" applyAlignment="1">
      <alignment horizontal="right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3" xfId="0" applyNumberFormat="1" applyFill="1" applyBorder="1" applyAlignment="1">
      <alignment horizontal="right" vertical="center"/>
    </xf>
    <xf numFmtId="14" fontId="0" fillId="2" borderId="4" xfId="0" applyNumberFormat="1" applyFill="1" applyBorder="1" applyAlignment="1">
      <alignment horizontal="right" vertical="center"/>
    </xf>
    <xf numFmtId="164" fontId="0" fillId="2" borderId="3" xfId="1" applyNumberFormat="1" applyFont="1" applyFill="1" applyBorder="1" applyAlignment="1">
      <alignment horizontal="right" vertical="center"/>
    </xf>
    <xf numFmtId="164" fontId="0" fillId="2" borderId="4" xfId="1" applyNumberFormat="1" applyFont="1" applyFill="1" applyBorder="1" applyAlignment="1">
      <alignment horizontal="right" vertical="center"/>
    </xf>
    <xf numFmtId="17" fontId="0" fillId="2" borderId="1" xfId="0" applyNumberFormat="1" applyFill="1" applyBorder="1" applyAlignment="1">
      <alignment horizontal="right" vertical="center"/>
    </xf>
    <xf numFmtId="164" fontId="2" fillId="2" borderId="5" xfId="1" applyNumberFormat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168" fontId="0" fillId="2" borderId="1" xfId="0" applyNumberFormat="1" applyFill="1" applyBorder="1" applyAlignment="1">
      <alignment horizontal="center" vertical="center"/>
    </xf>
  </cellXfs>
  <cellStyles count="5">
    <cellStyle name="Millares" xfId="1" builtinId="3"/>
    <cellStyle name="Normal" xfId="0" builtinId="0"/>
    <cellStyle name="Normal 2" xfId="3" xr:uid="{484AA78D-A20E-421D-98DE-F78F9C6D0CC5}"/>
    <cellStyle name="Normal 27" xfId="4" xr:uid="{D30DFAFA-ED7F-4718-B6B5-6B0D98AF699A}"/>
    <cellStyle name="Porcentaje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total</a:t>
            </a:r>
            <a:r>
              <a:rPr lang="es-UY" baseline="0"/>
              <a:t> obra constructora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49-4281-B563-97D70CE382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49-4281-B563-97D70CE382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Resumen!$E$120:$F$120</c:f>
              <c:strCache>
                <c:ptCount val="2"/>
                <c:pt idx="0">
                  <c:v>Avance</c:v>
                </c:pt>
                <c:pt idx="1">
                  <c:v>Saldo</c:v>
                </c:pt>
              </c:strCache>
            </c:strRef>
          </c:cat>
          <c:val>
            <c:numRef>
              <c:f>Resumen!$E$124:$F$124</c:f>
              <c:numCache>
                <c:formatCode>_-* #,##0_-;\-* #,##0_-;_-* "-"??_-;_-@_-</c:formatCode>
                <c:ptCount val="2"/>
                <c:pt idx="0">
                  <c:v>7085554.1139240498</c:v>
                </c:pt>
                <c:pt idx="1">
                  <c:v>5314155.1645569624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A-48E6-B8AD-4BAC3CCB21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Obra constructora pesos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57-4DDF-A82A-D30B4427BF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57-4DDF-A82A-D30B4427BF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$'!$AB$4:$AB$5</c:f>
              <c:strCache>
                <c:ptCount val="2"/>
                <c:pt idx="0">
                  <c:v> Monto avanzado </c:v>
                </c:pt>
                <c:pt idx="1">
                  <c:v>Avance pendiente</c:v>
                </c:pt>
              </c:strCache>
            </c:strRef>
          </c:cat>
          <c:val>
            <c:numRef>
              <c:f>'Básico $'!$AC$4:$AC$5</c:f>
              <c:numCache>
                <c:formatCode>_-* #,##0_-;\-* #,##0_-;_-* "-"??_-;_-@_-</c:formatCode>
                <c:ptCount val="2"/>
                <c:pt idx="0">
                  <c:v>268106410.13</c:v>
                </c:pt>
                <c:pt idx="1">
                  <c:v>178678179.87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57-4DDF-A82A-D30B4427BF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Obra constructora USD Plaza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81-471F-955E-9EEDE4E727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81-471F-955E-9EEDE4E727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Plaza'!$Z$4:$Z$5</c:f>
              <c:strCache>
                <c:ptCount val="2"/>
                <c:pt idx="0">
                  <c:v> Monto avanzado </c:v>
                </c:pt>
                <c:pt idx="1">
                  <c:v>Avance pendiente</c:v>
                </c:pt>
              </c:strCache>
            </c:strRef>
          </c:cat>
          <c:val>
            <c:numRef>
              <c:f>'Básico USD Plaza'!$AA$4:$AA$5</c:f>
              <c:numCache>
                <c:formatCode>_-* #,##0_-;\-* #,##0_-;_-* "-"??_-;_-@_-</c:formatCode>
                <c:ptCount val="2"/>
                <c:pt idx="0">
                  <c:v>193264.92</c:v>
                </c:pt>
                <c:pt idx="1">
                  <c:v>444139.07999999996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81-471F-955E-9EEDE4E727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Obra constructora USD CIF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F4-41F6-9A6F-4BD51B039F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F4-41F6-9A6F-4BD51B039F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CIF'!$Z$4:$Z$5</c:f>
              <c:strCache>
                <c:ptCount val="2"/>
                <c:pt idx="0">
                  <c:v> Monto avanzado </c:v>
                </c:pt>
                <c:pt idx="1">
                  <c:v>Avance pendiente</c:v>
                </c:pt>
              </c:strCache>
            </c:strRef>
          </c:cat>
          <c:val>
            <c:numRef>
              <c:f>'Básico USD CIF'!$AA$4:$AA$5</c:f>
              <c:numCache>
                <c:formatCode>_-* #,##0_-;\-* #,##0_-;_-* "-"??_-;_-@_-</c:formatCode>
                <c:ptCount val="2"/>
                <c:pt idx="0">
                  <c:v>104785.14</c:v>
                </c:pt>
                <c:pt idx="1">
                  <c:v>346517.86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F4-41F6-9A6F-4BD51B039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Composición pago y saldo - consolidado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29-4488-B834-97241F13BD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29-4488-B834-97241F13BD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29-4488-B834-97241F13BD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29-4488-B834-97241F13B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29-4488-B834-97241F13B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29-4488-B834-97241F13BD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Resumen!$H$142:$H$147</c:f>
              <c:strCache>
                <c:ptCount val="6"/>
                <c:pt idx="0">
                  <c:v>Acopio</c:v>
                </c:pt>
                <c:pt idx="1">
                  <c:v>Garantía</c:v>
                </c:pt>
                <c:pt idx="2">
                  <c:v>Canje unidades</c:v>
                </c:pt>
                <c:pt idx="3">
                  <c:v>Aportes patronales</c:v>
                </c:pt>
                <c:pt idx="4">
                  <c:v>Pago neto</c:v>
                </c:pt>
                <c:pt idx="5">
                  <c:v>Saldo</c:v>
                </c:pt>
              </c:strCache>
            </c:strRef>
          </c:cat>
          <c:val>
            <c:numRef>
              <c:f>Resumen!$I$142:$I$147</c:f>
              <c:numCache>
                <c:formatCode>_-* #,##0_-;\-* #,##0_-;_-* "-"??_-;_-@_-</c:formatCode>
                <c:ptCount val="6"/>
                <c:pt idx="0">
                  <c:v>233356.01070104388</c:v>
                </c:pt>
                <c:pt idx="1">
                  <c:v>383107.22571247828</c:v>
                </c:pt>
                <c:pt idx="2">
                  <c:v>186025.6107341772</c:v>
                </c:pt>
                <c:pt idx="3">
                  <c:v>5571.6962025316452</c:v>
                </c:pt>
                <c:pt idx="4">
                  <c:v>6277493.5705738198</c:v>
                </c:pt>
                <c:pt idx="5">
                  <c:v>5314155.1645569624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A-423A-8C03-DB04E8F193A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729-4488-B834-97241F13BD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729-4488-B834-97241F13BD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729-4488-B834-97241F13BD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729-4488-B834-97241F13B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729-4488-B834-97241F13B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729-4488-B834-97241F13BD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Resumen!$H$142:$H$147</c:f>
              <c:strCache>
                <c:ptCount val="6"/>
                <c:pt idx="0">
                  <c:v>Acopio</c:v>
                </c:pt>
                <c:pt idx="1">
                  <c:v>Garantía</c:v>
                </c:pt>
                <c:pt idx="2">
                  <c:v>Canje unidades</c:v>
                </c:pt>
                <c:pt idx="3">
                  <c:v>Aportes patronales</c:v>
                </c:pt>
                <c:pt idx="4">
                  <c:v>Pago neto</c:v>
                </c:pt>
                <c:pt idx="5">
                  <c:v>Saldo</c:v>
                </c:pt>
              </c:strCache>
            </c:strRef>
          </c:cat>
          <c:val>
            <c:numRef>
              <c:f>Resumen!$J$142:$J$147</c:f>
              <c:numCache>
                <c:formatCode>0%</c:formatCode>
                <c:ptCount val="6"/>
                <c:pt idx="0">
                  <c:v>1.8819474348968804E-2</c:v>
                </c:pt>
                <c:pt idx="1">
                  <c:v>3.0896468385540218E-2</c:v>
                </c:pt>
                <c:pt idx="2">
                  <c:v>1.5002417117715335E-2</c:v>
                </c:pt>
                <c:pt idx="3">
                  <c:v>4.4934087383814762E-4</c:v>
                </c:pt>
                <c:pt idx="4">
                  <c:v>0.50626135093893299</c:v>
                </c:pt>
                <c:pt idx="5">
                  <c:v>0.42857094833500453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A-423A-8C03-DB04E8F193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Acopio</a:t>
            </a:r>
            <a:r>
              <a:rPr lang="es-UY" baseline="0"/>
              <a:t> - Obra constructora pesos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B7-4EFF-82AA-75CD966925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B7-4EFF-82AA-75CD9669257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Acopios!$X$6:$Y$6</c:f>
              <c:strCache>
                <c:ptCount val="2"/>
                <c:pt idx="0">
                  <c:v>Total desacopiado </c:v>
                </c:pt>
                <c:pt idx="1">
                  <c:v>Saldo acopio </c:v>
                </c:pt>
              </c:strCache>
            </c:strRef>
          </c:cat>
          <c:val>
            <c:numRef>
              <c:f>Acopios!$X$7:$Y$7</c:f>
              <c:numCache>
                <c:formatCode>0%</c:formatCode>
                <c:ptCount val="2"/>
                <c:pt idx="0">
                  <c:v>0.38659152867544694</c:v>
                </c:pt>
                <c:pt idx="1">
                  <c:v>0.61340847132455312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7-4B4D-A774-B063210FB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Acopio - Obra constructora USD Plaza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B5-453F-9419-8EF6F49FFE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B5-453F-9419-8EF6F49FFE8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Acopios!$X$6:$Y$6</c:f>
              <c:strCache>
                <c:ptCount val="2"/>
                <c:pt idx="0">
                  <c:v>Total desacopiado </c:v>
                </c:pt>
                <c:pt idx="1">
                  <c:v>Saldo acopio </c:v>
                </c:pt>
              </c:strCache>
            </c:strRef>
          </c:cat>
          <c:val>
            <c:numRef>
              <c:f>Acopios!$X$8:$Y$8</c:f>
              <c:numCache>
                <c:formatCode>0%</c:formatCode>
                <c:ptCount val="2"/>
                <c:pt idx="0">
                  <c:v>0.29745249846477184</c:v>
                </c:pt>
                <c:pt idx="1">
                  <c:v>0.70254750153522816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2-4620-834F-A294EA749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Acopio - Obra constructora USD CIF</a:t>
            </a:r>
            <a:endParaRPr lang="es-UY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25-4F30-9BBF-6D63F920F0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25-4F30-9BBF-6D63F920F01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Acopios!$X$6:$Y$6</c:f>
              <c:strCache>
                <c:ptCount val="2"/>
                <c:pt idx="0">
                  <c:v>Total desacopiado </c:v>
                </c:pt>
                <c:pt idx="1">
                  <c:v>Saldo acopio </c:v>
                </c:pt>
              </c:strCache>
            </c:strRef>
          </c:cat>
          <c:val>
            <c:numRef>
              <c:f>Acopios!$X$9:$Y$9</c:f>
              <c:numCache>
                <c:formatCode>0%</c:formatCode>
                <c:ptCount val="2"/>
                <c:pt idx="0">
                  <c:v>0.23218356625149844</c:v>
                </c:pt>
                <c:pt idx="1">
                  <c:v>0.7678164337485015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D-481B-AD0C-3DF1D8D46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Acopio - utilizado vs</a:t>
            </a:r>
            <a:r>
              <a:rPr lang="en-US" baseline="0"/>
              <a:t> saldo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Acopios!$X$6</c:f>
              <c:strCache>
                <c:ptCount val="1"/>
                <c:pt idx="0">
                  <c:v>Total desacopiado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Acopios!$M$7:$M$9</c:f>
              <c:strCache>
                <c:ptCount val="3"/>
                <c:pt idx="0">
                  <c:v>Obra pesos</c:v>
                </c:pt>
                <c:pt idx="1">
                  <c:v>Obra USD Plaza </c:v>
                </c:pt>
                <c:pt idx="2">
                  <c:v>Obra USD CIF</c:v>
                </c:pt>
              </c:strCache>
            </c:strRef>
          </c:cat>
          <c:val>
            <c:numRef>
              <c:f>Acopios!$X$7:$X$9</c:f>
              <c:numCache>
                <c:formatCode>0%</c:formatCode>
                <c:ptCount val="3"/>
                <c:pt idx="0">
                  <c:v>0.38659152867544694</c:v>
                </c:pt>
                <c:pt idx="1">
                  <c:v>0.29745249846477184</c:v>
                </c:pt>
                <c:pt idx="2">
                  <c:v>0.23218356625149844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8-4890-8BA6-0C85EDEF0B4C}"/>
            </c:ext>
          </c:extLst>
        </c:ser>
        <c:ser>
          <c:idx val="1"/>
          <c:order val="1"/>
          <c:tx>
            <c:strRef>
              <c:f>Acopios!$Y$6</c:f>
              <c:strCache>
                <c:ptCount val="1"/>
                <c:pt idx="0">
                  <c:v>Saldo acopio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Acopios!$M$7:$M$9</c:f>
              <c:strCache>
                <c:ptCount val="3"/>
                <c:pt idx="0">
                  <c:v>Obra pesos</c:v>
                </c:pt>
                <c:pt idx="1">
                  <c:v>Obra USD Plaza </c:v>
                </c:pt>
                <c:pt idx="2">
                  <c:v>Obra USD CIF</c:v>
                </c:pt>
              </c:strCache>
            </c:strRef>
          </c:cat>
          <c:val>
            <c:numRef>
              <c:f>Acopios!$Y$7:$Y$9</c:f>
              <c:numCache>
                <c:formatCode>0%</c:formatCode>
                <c:ptCount val="3"/>
                <c:pt idx="0">
                  <c:v>0.61340847132455312</c:v>
                </c:pt>
                <c:pt idx="1">
                  <c:v>0.70254750153522816</c:v>
                </c:pt>
                <c:pt idx="2">
                  <c:v>0.7678164337485015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8-4890-8BA6-0C85EDEF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4919519"/>
        <c:axId val="347578543"/>
      </c:barChart>
      <c:catAx>
        <c:axId val="504919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47578543"/>
        <c:crosses val="autoZero"/>
        <c:auto val="1"/>
        <c:lblAlgn val="ctr"/>
        <c:lblOffset val="100"/>
        <c:noMultiLvlLbl val="0"/>
      </c:catAx>
      <c:valAx>
        <c:axId val="34757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50491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Obra constructora pesos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E9-4DF2-B22C-B82C62BA9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E9-4DF2-B22C-B82C62BA91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$'!$AB$4:$AB$5</c:f>
              <c:strCache>
                <c:ptCount val="2"/>
                <c:pt idx="0">
                  <c:v> Monto avanzado </c:v>
                </c:pt>
                <c:pt idx="1">
                  <c:v>Avance pendiente</c:v>
                </c:pt>
              </c:strCache>
            </c:strRef>
          </c:cat>
          <c:val>
            <c:numRef>
              <c:f>'Básico $'!$AC$4:$AC$5</c:f>
              <c:numCache>
                <c:formatCode>_-* #,##0_-;\-* #,##0_-;_-* "-"??_-;_-@_-</c:formatCode>
                <c:ptCount val="2"/>
                <c:pt idx="0">
                  <c:v>268106410.13</c:v>
                </c:pt>
                <c:pt idx="1">
                  <c:v>178678179.87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7-4FA6-A18F-3A6CE3320B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Garantía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E9-4631-BFC2-60DF1D2BCD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E9-4631-BFC2-60DF1D2BCD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$'!$AR$4:$AR$5</c:f>
              <c:strCache>
                <c:ptCount val="2"/>
                <c:pt idx="0">
                  <c:v> Garantía retenida </c:v>
                </c:pt>
                <c:pt idx="1">
                  <c:v> Garantía pendiente </c:v>
                </c:pt>
              </c:strCache>
            </c:strRef>
          </c:cat>
          <c:val>
            <c:numRef>
              <c:f>'Básico $'!$AS$4:$AS$5</c:f>
              <c:numCache>
                <c:formatCode>_-* #,##0_-;\-* #,##0_-;_-* "-"??_-;_-@_-</c:formatCode>
                <c:ptCount val="2"/>
                <c:pt idx="0">
                  <c:v>13405320.506500002</c:v>
                </c:pt>
                <c:pt idx="1">
                  <c:v>8933908.993499998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E-4E9A-A5CD-2DE98B76603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Canje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D2-43D0-B2F4-DDD1F25A8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83-4650-99FE-EE55A22851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$'!$AX$4:$AX$5</c:f>
              <c:strCache>
                <c:ptCount val="2"/>
                <c:pt idx="0">
                  <c:v> Canje utilizado </c:v>
                </c:pt>
                <c:pt idx="1">
                  <c:v> Canje pendiente </c:v>
                </c:pt>
              </c:strCache>
            </c:strRef>
          </c:cat>
          <c:val>
            <c:numRef>
              <c:f>'Básico $'!$AY$4:$AY$5</c:f>
              <c:numCache>
                <c:formatCode>_-* #,##0_-;\-* #,##0_-;_-* "-"??_-;_-@_-</c:formatCode>
                <c:ptCount val="2"/>
                <c:pt idx="0">
                  <c:v>6702660.253250001</c:v>
                </c:pt>
                <c:pt idx="1">
                  <c:v>4466954.496749999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650-99FE-EE55A22851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Acopio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54-499E-B9D8-041D3827A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54-499E-B9D8-041D3827A8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$'!$AM$4:$AM$5</c:f>
              <c:strCache>
                <c:ptCount val="2"/>
                <c:pt idx="0">
                  <c:v> Acopio utilzado </c:v>
                </c:pt>
                <c:pt idx="1">
                  <c:v> Acopio pendiente </c:v>
                </c:pt>
              </c:strCache>
            </c:strRef>
          </c:cat>
          <c:val>
            <c:numRef>
              <c:f>'Básico $'!$AN$4:$AN$5</c:f>
              <c:numCache>
                <c:formatCode>_-* #,##0_-;\-* #,##0_-;_-* "-"??_-;_-@_-</c:formatCode>
                <c:ptCount val="2"/>
                <c:pt idx="0">
                  <c:v>8636156.8818366397</c:v>
                </c:pt>
                <c:pt idx="1">
                  <c:v>13703072.61816336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4-4A4B-9FCF-65F8DE673D2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92-40AF-AE34-DAA7DDB1BF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3E-417D-904C-4DC18D8FF0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$'!$AG$4:$AG$5</c:f>
              <c:strCache>
                <c:ptCount val="2"/>
                <c:pt idx="0">
                  <c:v> IVA avanzado </c:v>
                </c:pt>
                <c:pt idx="1">
                  <c:v>IVA pendiente</c:v>
                </c:pt>
              </c:strCache>
            </c:strRef>
          </c:cat>
          <c:val>
            <c:numRef>
              <c:f>'Básico $'!$AH$4:$AH$5</c:f>
              <c:numCache>
                <c:formatCode>_-* #,##0_-;\-* #,##0_-;_-* "-"??_-;_-@_-</c:formatCode>
                <c:ptCount val="2"/>
                <c:pt idx="0">
                  <c:v>58983410.228599995</c:v>
                </c:pt>
                <c:pt idx="1">
                  <c:v>39309199.571400002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E-417D-904C-4DC18D8FF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mensual - Obra</a:t>
            </a:r>
            <a:r>
              <a:rPr lang="es-UY" baseline="0"/>
              <a:t> básica $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('Básico $'!$C$4:$C$14,'Básico $'!$C$16:$C$22)</c:f>
              <c:numCache>
                <c:formatCode>mmm\-yy</c:formatCode>
                <c:ptCount val="1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</c:numCache>
            </c:numRef>
          </c:cat>
          <c:val>
            <c:numRef>
              <c:f>('Básico $'!$F$4:$F$14,'Básico $'!$F$16:$F$22)</c:f>
              <c:numCache>
                <c:formatCode>_-* #,##0_-;\-* #,##0_-;_-* "-"??_-;_-@_-</c:formatCode>
                <c:ptCount val="18"/>
                <c:pt idx="0">
                  <c:v>3020726</c:v>
                </c:pt>
                <c:pt idx="1">
                  <c:v>2620526</c:v>
                </c:pt>
                <c:pt idx="2">
                  <c:v>7539478</c:v>
                </c:pt>
                <c:pt idx="3">
                  <c:v>14122299</c:v>
                </c:pt>
                <c:pt idx="4">
                  <c:v>7660122</c:v>
                </c:pt>
                <c:pt idx="5">
                  <c:v>13979077</c:v>
                </c:pt>
                <c:pt idx="6">
                  <c:v>14933843.48</c:v>
                </c:pt>
                <c:pt idx="7">
                  <c:v>15415139.08</c:v>
                </c:pt>
                <c:pt idx="8">
                  <c:v>21666296</c:v>
                </c:pt>
                <c:pt idx="9">
                  <c:v>20980633.370000001</c:v>
                </c:pt>
                <c:pt idx="10">
                  <c:v>24648219.16</c:v>
                </c:pt>
                <c:pt idx="11">
                  <c:v>22369740</c:v>
                </c:pt>
                <c:pt idx="12">
                  <c:v>17503240.649999999</c:v>
                </c:pt>
                <c:pt idx="13">
                  <c:v>11909307</c:v>
                </c:pt>
                <c:pt idx="14">
                  <c:v>12424849</c:v>
                </c:pt>
                <c:pt idx="15">
                  <c:v>14998516.57</c:v>
                </c:pt>
                <c:pt idx="16">
                  <c:v>12295338.26</c:v>
                </c:pt>
                <c:pt idx="17">
                  <c:v>14976846.560000001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C-4BD4-9CA1-B8BD53856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090767"/>
        <c:axId val="347381263"/>
      </c:barChart>
      <c:dateAx>
        <c:axId val="4500907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47381263"/>
        <c:crosses val="autoZero"/>
        <c:auto val="1"/>
        <c:lblOffset val="100"/>
        <c:baseTimeUnit val="months"/>
      </c:dateAx>
      <c:valAx>
        <c:axId val="3473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45009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Obra constructora USD Plaza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76-47E7-9969-6A26F5B3EB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76-47E7-9969-6A26F5B3EB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Plaza'!$Z$4:$Z$5</c:f>
              <c:strCache>
                <c:ptCount val="2"/>
                <c:pt idx="0">
                  <c:v> Monto avanzado </c:v>
                </c:pt>
                <c:pt idx="1">
                  <c:v>Avance pendiente</c:v>
                </c:pt>
              </c:strCache>
            </c:strRef>
          </c:cat>
          <c:val>
            <c:numRef>
              <c:f>'Básico USD Plaza'!$AA$4:$AA$5</c:f>
              <c:numCache>
                <c:formatCode>_-* #,##0_-;\-* #,##0_-;_-* "-"??_-;_-@_-</c:formatCode>
                <c:ptCount val="2"/>
                <c:pt idx="0">
                  <c:v>193264.92</c:v>
                </c:pt>
                <c:pt idx="1">
                  <c:v>444139.07999999996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76-47E7-9969-6A26F5B3EB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Garantía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77-4480-B3B4-644872EA0B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77-4480-B3B4-644872EA0B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Plaza'!$AP$4:$AP$5</c:f>
              <c:strCache>
                <c:ptCount val="2"/>
                <c:pt idx="0">
                  <c:v> Garantía retenida </c:v>
                </c:pt>
                <c:pt idx="1">
                  <c:v> Garantía pendiente </c:v>
                </c:pt>
              </c:strCache>
            </c:strRef>
          </c:cat>
          <c:val>
            <c:numRef>
              <c:f>'Básico USD Plaza'!$AQ$4:$AQ$5</c:f>
              <c:numCache>
                <c:formatCode>_-* #,##0_-;\-* #,##0_-;_-* "-"??_-;_-@_-</c:formatCode>
                <c:ptCount val="2"/>
                <c:pt idx="0">
                  <c:v>9663.2459999999992</c:v>
                </c:pt>
                <c:pt idx="1">
                  <c:v>22206.954000000002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7-4480-B3B4-644872EA0B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Canje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DE-4823-80C0-EBF186A52A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DE-4823-80C0-EBF186A52A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Plaza'!$AV$4:$AV$5</c:f>
              <c:strCache>
                <c:ptCount val="2"/>
                <c:pt idx="0">
                  <c:v> Canje utilizado </c:v>
                </c:pt>
                <c:pt idx="1">
                  <c:v> Canje pendiente </c:v>
                </c:pt>
              </c:strCache>
            </c:strRef>
          </c:cat>
          <c:val>
            <c:numRef>
              <c:f>'Básico USD Plaza'!$AW$4:$AW$5</c:f>
              <c:numCache>
                <c:formatCode>_-* #,##0_-;\-* #,##0_-;_-* "-"??_-;_-@_-</c:formatCode>
                <c:ptCount val="2"/>
                <c:pt idx="0">
                  <c:v>4831.6229999999996</c:v>
                </c:pt>
                <c:pt idx="1">
                  <c:v>11103.477000000001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DE-4823-80C0-EBF186A52A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Acopio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13-4184-97D1-F8631C63E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13-4184-97D1-F8631C63EF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Plaza'!$AK$4:$AK$5</c:f>
              <c:strCache>
                <c:ptCount val="2"/>
                <c:pt idx="0">
                  <c:v> Acopio utilzado </c:v>
                </c:pt>
                <c:pt idx="1">
                  <c:v> Acopio pendiente </c:v>
                </c:pt>
              </c:strCache>
            </c:strRef>
          </c:cat>
          <c:val>
            <c:numRef>
              <c:f>'Básico USD Plaza'!$AL$4:$AL$5</c:f>
              <c:numCache>
                <c:formatCode>_-* #,##0_-;\-* #,##0_-;_-* "-"??_-;_-@_-</c:formatCode>
                <c:ptCount val="2"/>
                <c:pt idx="0">
                  <c:v>9479.8706165719705</c:v>
                </c:pt>
                <c:pt idx="1">
                  <c:v>22390.32938342803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13-4184-97D1-F8631C63EF9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C-4DF7-9A25-76D9763E3C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7C-4DF7-9A25-76D9763E3C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Plaza'!$AE$4:$AE$5</c:f>
              <c:strCache>
                <c:ptCount val="2"/>
                <c:pt idx="0">
                  <c:v> IVA avanzado </c:v>
                </c:pt>
                <c:pt idx="1">
                  <c:v>IVA pendiente</c:v>
                </c:pt>
              </c:strCache>
            </c:strRef>
          </c:cat>
          <c:val>
            <c:numRef>
              <c:f>'Básico USD Plaza'!$AF$4:$AF$5</c:f>
              <c:numCache>
                <c:formatCode>_-* #,##0_-;\-* #,##0_-;_-* "-"??_-;_-@_-</c:formatCode>
                <c:ptCount val="2"/>
                <c:pt idx="0">
                  <c:v>42518.282399999996</c:v>
                </c:pt>
                <c:pt idx="1">
                  <c:v>97710.597600000008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7C-4DF7-9A25-76D9763E3C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mensual</a:t>
            </a:r>
            <a:r>
              <a:rPr lang="es-UY" baseline="0"/>
              <a:t> - Obra básica USD Plaza</a:t>
            </a:r>
            <a:endParaRPr lang="es-U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'Básico USD Plaza'!$C$4:$C$7</c:f>
              <c:numCache>
                <c:formatCode>mmm\-yy</c:formatCode>
                <c:ptCount val="4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</c:numCache>
            </c:numRef>
          </c:cat>
          <c:val>
            <c:numRef>
              <c:f>'Básico USD Plaza'!$F$4:$F$7</c:f>
              <c:numCache>
                <c:formatCode>_-* #,##0_-;\-* #,##0_-;_-* "-"??_-;_-@_-</c:formatCode>
                <c:ptCount val="4"/>
                <c:pt idx="0">
                  <c:v>17074.7</c:v>
                </c:pt>
                <c:pt idx="1">
                  <c:v>20074.240000000002</c:v>
                </c:pt>
                <c:pt idx="2">
                  <c:v>36286.379999999997</c:v>
                </c:pt>
                <c:pt idx="3">
                  <c:v>38012.629999999997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A-4815-92BC-F013C15F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01216"/>
        <c:axId val="347429743"/>
      </c:barChart>
      <c:dateAx>
        <c:axId val="5152012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47429743"/>
        <c:crosses val="autoZero"/>
        <c:auto val="1"/>
        <c:lblOffset val="100"/>
        <c:baseTimeUnit val="months"/>
      </c:dateAx>
      <c:valAx>
        <c:axId val="3474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51520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Avance Obra constructora USD CIF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C0-439A-941F-B47AB3B897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0-439A-941F-B47AB3B897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CIF'!$Z$4:$Z$5</c:f>
              <c:strCache>
                <c:ptCount val="2"/>
                <c:pt idx="0">
                  <c:v> Monto avanzado </c:v>
                </c:pt>
                <c:pt idx="1">
                  <c:v>Avance pendiente</c:v>
                </c:pt>
              </c:strCache>
            </c:strRef>
          </c:cat>
          <c:val>
            <c:numRef>
              <c:f>'Básico USD CIF'!$AA$4:$AA$5</c:f>
              <c:numCache>
                <c:formatCode>_-* #,##0_-;\-* #,##0_-;_-* "-"??_-;_-@_-</c:formatCode>
                <c:ptCount val="2"/>
                <c:pt idx="0">
                  <c:v>104785.14</c:v>
                </c:pt>
                <c:pt idx="1">
                  <c:v>346517.86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C0-439A-941F-B47AB3B897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Garantía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8B-43CF-B0CB-BB02E2AD0D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8B-43CF-B0CB-BB02E2AD0D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CIF'!$AJ$4:$AJ$5</c:f>
              <c:strCache>
                <c:ptCount val="2"/>
                <c:pt idx="0">
                  <c:v> Garantía retenida </c:v>
                </c:pt>
                <c:pt idx="1">
                  <c:v> Garantía pendiente </c:v>
                </c:pt>
              </c:strCache>
            </c:strRef>
          </c:cat>
          <c:val>
            <c:numRef>
              <c:f>'Básico USD CIF'!$AK$4:$AK$5</c:f>
              <c:numCache>
                <c:formatCode>_-* #,##0_-;\-* #,##0_-;_-* "-"??_-;_-@_-</c:formatCode>
                <c:ptCount val="2"/>
                <c:pt idx="0">
                  <c:v>5239.2570000000005</c:v>
                </c:pt>
                <c:pt idx="1">
                  <c:v>17325.893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B-43CF-B0CB-BB02E2AD0D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Canje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F-4833-93C6-938970DE98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EF-4833-93C6-938970DE98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CIF'!$AO$4:$AO$5</c:f>
              <c:strCache>
                <c:ptCount val="2"/>
                <c:pt idx="0">
                  <c:v> Canje utilizado </c:v>
                </c:pt>
                <c:pt idx="1">
                  <c:v> Canje pendiente </c:v>
                </c:pt>
              </c:strCache>
            </c:strRef>
          </c:cat>
          <c:val>
            <c:numRef>
              <c:f>'Básico USD CIF'!$AP$4:$AP$5</c:f>
              <c:numCache>
                <c:formatCode>_-* #,##0_-;\-* #,##0_-;_-* "-"??_-;_-@_-</c:formatCode>
                <c:ptCount val="2"/>
                <c:pt idx="0">
                  <c:v>2619.6285000000003</c:v>
                </c:pt>
                <c:pt idx="1">
                  <c:v>8662.9465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F-4833-93C6-938970DE98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Acopio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2-4C85-846E-BD46A0BBBE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2-4C85-846E-BD46A0BBBE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'Básico USD CIF'!$AE$4:$AE$5</c:f>
              <c:strCache>
                <c:ptCount val="2"/>
                <c:pt idx="0">
                  <c:v> Acopio utilzado </c:v>
                </c:pt>
                <c:pt idx="1">
                  <c:v> Acopio pendiente </c:v>
                </c:pt>
              </c:strCache>
            </c:strRef>
          </c:cat>
          <c:val>
            <c:numRef>
              <c:f>'Básico USD CIF'!$AF$4:$AF$5</c:f>
              <c:numCache>
                <c:formatCode>_-* #,##0_-;\-* #,##0_-;_-* "-"??_-;_-@_-</c:formatCode>
                <c:ptCount val="2"/>
                <c:pt idx="0">
                  <c:v>5239.2570000000005</c:v>
                </c:pt>
                <c:pt idx="1">
                  <c:v>17325.893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F2-4C85-846E-BD46A0BBBE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Avance mensual - Obra básica USD CIF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'Básico USD CIF'!$C$4:$C$6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'Básico USD CIF'!$F$4:$F$6</c:f>
              <c:numCache>
                <c:formatCode>_-* #,##0_-;\-* #,##0_-;_-* "-"??_-;_-@_-</c:formatCode>
                <c:ptCount val="3"/>
                <c:pt idx="0">
                  <c:v>89320</c:v>
                </c:pt>
                <c:pt idx="1">
                  <c:v>2157.0100000000002</c:v>
                </c:pt>
                <c:pt idx="2">
                  <c:v>10376.530000000001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A-43C4-993F-9EEFD832F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56896"/>
        <c:axId val="347579983"/>
      </c:barChart>
      <c:dateAx>
        <c:axId val="515256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347579983"/>
        <c:crosses val="autoZero"/>
        <c:auto val="1"/>
        <c:lblOffset val="100"/>
        <c:baseTimeUnit val="months"/>
      </c:dateAx>
      <c:valAx>
        <c:axId val="34757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51525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 mensual - Aumentos y Disminuciones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'AyD $'!$AB$3</c:f>
              <c:strCache>
                <c:ptCount val="1"/>
                <c:pt idx="0">
                  <c:v>OC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'AyD $'!$AA$4:$AA$6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$'!$AB$4:$AB$6</c:f>
              <c:numCache>
                <c:formatCode>#,##0</c:formatCode>
                <c:ptCount val="3"/>
                <c:pt idx="0">
                  <c:v>92169.459810080676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6-432E-A74E-119B7A6830B6}"/>
            </c:ext>
          </c:extLst>
        </c:ser>
        <c:ser>
          <c:idx val="1"/>
          <c:order val="1"/>
          <c:tx>
            <c:strRef>
              <c:f>'AyD $'!$AC$3</c:f>
              <c:strCache>
                <c:ptCount val="1"/>
                <c:pt idx="0">
                  <c:v>OC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'AyD $'!$AA$4:$AA$6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$'!$AC$4:$AC$6</c:f>
              <c:numCache>
                <c:formatCode>#,##0</c:formatCode>
                <c:ptCount val="3"/>
                <c:pt idx="0">
                  <c:v>497490.60022327717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6-432E-A74E-119B7A6830B6}"/>
            </c:ext>
          </c:extLst>
        </c:ser>
        <c:ser>
          <c:idx val="2"/>
          <c:order val="2"/>
          <c:tx>
            <c:strRef>
              <c:f>'AyD $'!$AD$3</c:f>
              <c:strCache>
                <c:ptCount val="1"/>
                <c:pt idx="0">
                  <c:v>OC 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'AyD $'!$AA$4:$AA$6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$'!$AD$4:$AD$6</c:f>
              <c:numCache>
                <c:formatCode>#,##0</c:formatCode>
                <c:ptCount val="3"/>
                <c:pt idx="1">
                  <c:v>309912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6-432E-A74E-119B7A6830B6}"/>
            </c:ext>
          </c:extLst>
        </c:ser>
        <c:ser>
          <c:idx val="3"/>
          <c:order val="3"/>
          <c:tx>
            <c:strRef>
              <c:f>'AyD $'!$AE$3</c:f>
              <c:strCache>
                <c:ptCount val="1"/>
                <c:pt idx="0">
                  <c:v>OC 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'AyD $'!$AA$4:$AA$6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$'!$AE$4:$AE$6</c:f>
              <c:numCache>
                <c:formatCode>#,##0</c:formatCode>
                <c:ptCount val="3"/>
                <c:pt idx="2">
                  <c:v>-552655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6-432E-A74E-119B7A6830B6}"/>
            </c:ext>
          </c:extLst>
        </c:ser>
        <c:ser>
          <c:idx val="4"/>
          <c:order val="4"/>
          <c:tx>
            <c:strRef>
              <c:f>'AyD $'!$AF$3</c:f>
              <c:strCache>
                <c:ptCount val="1"/>
                <c:pt idx="0">
                  <c:v>OC 13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'AyD $'!$AA$4:$AA$6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$'!$AF$4:$AF$6</c:f>
              <c:numCache>
                <c:formatCode>#,##0</c:formatCode>
                <c:ptCount val="3"/>
                <c:pt idx="2">
                  <c:v>108538.99999999999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D6-432E-A74E-119B7A68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23199"/>
        <c:axId val="250996752"/>
      </c:barChart>
      <c:catAx>
        <c:axId val="896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50996752"/>
        <c:crosses val="autoZero"/>
        <c:auto val="1"/>
        <c:lblAlgn val="ctr"/>
        <c:lblOffset val="100"/>
        <c:noMultiLvlLbl val="0"/>
      </c:catAx>
      <c:valAx>
        <c:axId val="2509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8962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Avance mensual - Aumentos y Disminuciones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'AyD $'!$AI$3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'AyD $'!$AH$4:$AH$6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$'!$AI$4:$AI$6</c:f>
              <c:numCache>
                <c:formatCode>_-* #,##0_-;\-* #,##0_-;_-* "-"??_-;_-@_-</c:formatCode>
                <c:ptCount val="3"/>
                <c:pt idx="0">
                  <c:v>589660.06003335782</c:v>
                </c:pt>
                <c:pt idx="1">
                  <c:v>309912</c:v>
                </c:pt>
                <c:pt idx="2">
                  <c:v>-444116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4-4EE0-A84F-3E27D173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99584"/>
        <c:axId val="250900272"/>
      </c:barChart>
      <c:catAx>
        <c:axId val="5152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50900272"/>
        <c:crosses val="autoZero"/>
        <c:auto val="1"/>
        <c:lblAlgn val="ctr"/>
        <c:lblOffset val="100"/>
        <c:noMultiLvlLbl val="0"/>
      </c:catAx>
      <c:valAx>
        <c:axId val="2509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51529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Avance mensual - Aumentos y Disminuciones USD Plaza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'AYD USD Plaza '!$AD$4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'AYD USD Plaza '!$AC$5:$AC$7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USD Plaza '!$AD$5:$AD$7</c:f>
              <c:numCache>
                <c:formatCode>_-* #,##0_-;\-* #,##0_-;_-* "-"??_-;_-@_-</c:formatCode>
                <c:ptCount val="3"/>
                <c:pt idx="0">
                  <c:v>89319.965171771095</c:v>
                </c:pt>
                <c:pt idx="1">
                  <c:v>2157.07090154562</c:v>
                </c:pt>
                <c:pt idx="2">
                  <c:v>10376.528539681851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A-4C35-AC76-95C182646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99584"/>
        <c:axId val="250900272"/>
      </c:barChart>
      <c:catAx>
        <c:axId val="5152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50900272"/>
        <c:crosses val="autoZero"/>
        <c:auto val="1"/>
        <c:lblAlgn val="ctr"/>
        <c:lblOffset val="100"/>
        <c:noMultiLvlLbl val="0"/>
      </c:catAx>
      <c:valAx>
        <c:axId val="2509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51529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Avance mensual - Aumentos y Disminuciones USD CIF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'AYD USD CIF'!$AD$4</c:f>
              <c:strCache>
                <c:ptCount val="1"/>
                <c:pt idx="0">
                  <c:v>Subtotal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'AYD USD CIF'!$AC$5:$AC$7</c:f>
              <c:strCache>
                <c:ptCount val="3"/>
                <c:pt idx="0">
                  <c:v>Jun-25</c:v>
                </c:pt>
                <c:pt idx="1">
                  <c:v>Jul-25</c:v>
                </c:pt>
                <c:pt idx="2">
                  <c:v>May-26</c:v>
                </c:pt>
              </c:strCache>
            </c:strRef>
          </c:cat>
          <c:val>
            <c:numRef>
              <c:f>'AYD USD CIF'!$AD$5:$AD$7</c:f>
              <c:numCache>
                <c:formatCode>_-* #,##0_-;\-* #,##0_-;_-* "-"??_-;_-@_-</c:formatCode>
                <c:ptCount val="3"/>
                <c:pt idx="0">
                  <c:v>-89319.965171771095</c:v>
                </c:pt>
                <c:pt idx="1">
                  <c:v>-2157.0709015456205</c:v>
                </c:pt>
                <c:pt idx="2">
                  <c:v>-10376.528539681851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E-4D90-A76F-CEDA0AF1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299584"/>
        <c:axId val="250900272"/>
      </c:barChart>
      <c:catAx>
        <c:axId val="5152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50900272"/>
        <c:crosses val="autoZero"/>
        <c:auto val="1"/>
        <c:lblAlgn val="ctr"/>
        <c:lblOffset val="100"/>
        <c:noMultiLvlLbl val="0"/>
      </c:catAx>
      <c:valAx>
        <c:axId val="2509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51529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Ajuste paramétrico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AP!$AM$2</c:f>
              <c:strCache>
                <c:ptCount val="1"/>
                <c:pt idx="0">
                  <c:v>% Ajuste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AP!$AL$3:$AL$19</c:f>
              <c:numCache>
                <c:formatCode>mmm\-yy</c:formatCode>
                <c:ptCount val="17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</c:numCache>
            </c:numRef>
          </c:cat>
          <c:val>
            <c:numRef>
              <c:f>AP!$AM$3:$AM$19</c:f>
              <c:numCache>
                <c:formatCode>0.00%</c:formatCode>
                <c:ptCount val="17"/>
                <c:pt idx="0">
                  <c:v>1.9881823111397724E-2</c:v>
                </c:pt>
                <c:pt idx="1">
                  <c:v>2.1980228396894366E-2</c:v>
                </c:pt>
                <c:pt idx="2">
                  <c:v>2.7906591145965279E-2</c:v>
                </c:pt>
                <c:pt idx="3">
                  <c:v>2.79813570014344E-2</c:v>
                </c:pt>
                <c:pt idx="4">
                  <c:v>5.8170405118874086E-2</c:v>
                </c:pt>
                <c:pt idx="5">
                  <c:v>5.6973467561556461E-2</c:v>
                </c:pt>
                <c:pt idx="6">
                  <c:v>5.6537864557825133E-2</c:v>
                </c:pt>
                <c:pt idx="7">
                  <c:v>5.4171145369906061E-2</c:v>
                </c:pt>
                <c:pt idx="8">
                  <c:v>5.3394851616538418E-2</c:v>
                </c:pt>
                <c:pt idx="9">
                  <c:v>5.4137197384332342E-2</c:v>
                </c:pt>
                <c:pt idx="10">
                  <c:v>5.8322639484352914E-2</c:v>
                </c:pt>
                <c:pt idx="11">
                  <c:v>5.6718135749454397E-2</c:v>
                </c:pt>
                <c:pt idx="12">
                  <c:v>5.5338895200529627E-2</c:v>
                </c:pt>
                <c:pt idx="13">
                  <c:v>5.8881091905683511E-2</c:v>
                </c:pt>
                <c:pt idx="14">
                  <c:v>6.2799858573733977E-2</c:v>
                </c:pt>
                <c:pt idx="15">
                  <c:v>6.6282309677776347E-2</c:v>
                </c:pt>
                <c:pt idx="16">
                  <c:v>7.2382115984176265E-2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3-4625-BB58-1472C9CB6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267536"/>
        <c:axId val="1477835472"/>
      </c:lineChart>
      <c:dateAx>
        <c:axId val="1158267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477835472"/>
        <c:crosses val="autoZero"/>
        <c:auto val="1"/>
        <c:lblOffset val="100"/>
        <c:baseTimeUnit val="months"/>
      </c:dateAx>
      <c:valAx>
        <c:axId val="14778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115826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507999</xdr:colOff>
      <xdr:row>115</xdr:row>
      <xdr:rowOff>200023</xdr:rowOff>
    </xdr:from>
    <xdr:to>
      <xdr:col>15</xdr:col>
      <xdr:colOff>560916</xdr:colOff>
      <xdr:row>129</xdr:row>
      <xdr:rowOff>42332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8EA6B6-89FB-08C0-F5C6-49EC5C735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486833</xdr:colOff>
      <xdr:row>73</xdr:row>
      <xdr:rowOff>179916</xdr:rowOff>
    </xdr:from>
    <xdr:to>
      <xdr:col>15</xdr:col>
      <xdr:colOff>455083</xdr:colOff>
      <xdr:row>86</xdr:row>
      <xdr:rowOff>169334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49CBDE-7120-4382-8EBC-A93EFADB3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486833</xdr:colOff>
      <xdr:row>87</xdr:row>
      <xdr:rowOff>116417</xdr:rowOff>
    </xdr:from>
    <xdr:to>
      <xdr:col>15</xdr:col>
      <xdr:colOff>455083</xdr:colOff>
      <xdr:row>100</xdr:row>
      <xdr:rowOff>42334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8BFB9A-0697-4B27-B80A-31D8855F8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476250</xdr:colOff>
      <xdr:row>100</xdr:row>
      <xdr:rowOff>127000</xdr:rowOff>
    </xdr:from>
    <xdr:to>
      <xdr:col>15</xdr:col>
      <xdr:colOff>476250</xdr:colOff>
      <xdr:row>114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D9E6AC-C96E-4063-9E52-98F7D30C7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264583</xdr:colOff>
      <xdr:row>141</xdr:row>
      <xdr:rowOff>189441</xdr:rowOff>
    </xdr:from>
    <xdr:to>
      <xdr:col>16</xdr:col>
      <xdr:colOff>1016000</xdr:colOff>
      <xdr:row>158</xdr:row>
      <xdr:rowOff>42333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2A22F0D-C1FB-C942-60D7-A97FD3AFC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1302544</xdr:colOff>
      <xdr:row>10</xdr:row>
      <xdr:rowOff>19051</xdr:rowOff>
    </xdr:from>
    <xdr:to>
      <xdr:col>22</xdr:col>
      <xdr:colOff>59532</xdr:colOff>
      <xdr:row>24</xdr:row>
      <xdr:rowOff>95251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ED982C-307B-9E64-F9C4-A4AD1046E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107155</xdr:colOff>
      <xdr:row>10</xdr:row>
      <xdr:rowOff>19050</xdr:rowOff>
    </xdr:from>
    <xdr:to>
      <xdr:col>27</xdr:col>
      <xdr:colOff>559591</xdr:colOff>
      <xdr:row>24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26D88C-4D11-A6F1-E136-98DC3741E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604836</xdr:colOff>
      <xdr:row>10</xdr:row>
      <xdr:rowOff>16668</xdr:rowOff>
    </xdr:from>
    <xdr:to>
      <xdr:col>34</xdr:col>
      <xdr:colOff>154780</xdr:colOff>
      <xdr:row>24</xdr:row>
      <xdr:rowOff>92868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015628-343F-CECE-A244-29E1A53BF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1250155</xdr:colOff>
      <xdr:row>25</xdr:row>
      <xdr:rowOff>178594</xdr:rowOff>
    </xdr:from>
    <xdr:to>
      <xdr:col>23</xdr:col>
      <xdr:colOff>1154905</xdr:colOff>
      <xdr:row>42</xdr:row>
      <xdr:rowOff>178594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D80A18-7D8A-E129-90BC-FA2F69BBB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814918</xdr:colOff>
      <xdr:row>5</xdr:row>
      <xdr:rowOff>136523</xdr:rowOff>
    </xdr:from>
    <xdr:to>
      <xdr:col>30</xdr:col>
      <xdr:colOff>486834</xdr:colOff>
      <xdr:row>20</xdr:row>
      <xdr:rowOff>22223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10E905-EE13-6F67-CA9D-17E772EF7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714375</xdr:colOff>
      <xdr:row>5</xdr:row>
      <xdr:rowOff>189441</xdr:rowOff>
    </xdr:from>
    <xdr:to>
      <xdr:col>46</xdr:col>
      <xdr:colOff>613834</xdr:colOff>
      <xdr:row>20</xdr:row>
      <xdr:rowOff>75141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76750A-47D4-8CAA-4411-23C4F2218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142875</xdr:colOff>
      <xdr:row>6</xdr:row>
      <xdr:rowOff>9522</xdr:rowOff>
    </xdr:from>
    <xdr:to>
      <xdr:col>52</xdr:col>
      <xdr:colOff>264584</xdr:colOff>
      <xdr:row>20</xdr:row>
      <xdr:rowOff>85722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033330-EF2C-0F1D-CCEC-DD9669482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386292</xdr:colOff>
      <xdr:row>5</xdr:row>
      <xdr:rowOff>178856</xdr:rowOff>
    </xdr:from>
    <xdr:to>
      <xdr:col>41</xdr:col>
      <xdr:colOff>402166</xdr:colOff>
      <xdr:row>20</xdr:row>
      <xdr:rowOff>64556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4288E57-7B23-A85D-32A8-3A91BF7DE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666750</xdr:colOff>
      <xdr:row>5</xdr:row>
      <xdr:rowOff>168274</xdr:rowOff>
    </xdr:from>
    <xdr:to>
      <xdr:col>36</xdr:col>
      <xdr:colOff>137583</xdr:colOff>
      <xdr:row>20</xdr:row>
      <xdr:rowOff>53974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F0415F-1BFD-DE00-A679-E7AB7282D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773906</xdr:colOff>
      <xdr:row>21</xdr:row>
      <xdr:rowOff>146445</xdr:rowOff>
    </xdr:from>
    <xdr:to>
      <xdr:col>32</xdr:col>
      <xdr:colOff>750093</xdr:colOff>
      <xdr:row>40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C63400-74EF-7906-E9A1-A12F7B4C4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814918</xdr:colOff>
      <xdr:row>5</xdr:row>
      <xdr:rowOff>136523</xdr:rowOff>
    </xdr:from>
    <xdr:to>
      <xdr:col>28</xdr:col>
      <xdr:colOff>486834</xdr:colOff>
      <xdr:row>20</xdr:row>
      <xdr:rowOff>22223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29187A-2390-4487-8C91-5FBAEECE0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714375</xdr:colOff>
      <xdr:row>5</xdr:row>
      <xdr:rowOff>189441</xdr:rowOff>
    </xdr:from>
    <xdr:to>
      <xdr:col>44</xdr:col>
      <xdr:colOff>613834</xdr:colOff>
      <xdr:row>20</xdr:row>
      <xdr:rowOff>75141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87A7EF-32DB-4B89-9DE2-EE9476BED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</xdr:col>
      <xdr:colOff>142875</xdr:colOff>
      <xdr:row>6</xdr:row>
      <xdr:rowOff>9522</xdr:rowOff>
    </xdr:from>
    <xdr:to>
      <xdr:col>50</xdr:col>
      <xdr:colOff>264584</xdr:colOff>
      <xdr:row>20</xdr:row>
      <xdr:rowOff>85722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2393F5-CF24-45CC-95F9-931E383C8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386292</xdr:colOff>
      <xdr:row>5</xdr:row>
      <xdr:rowOff>178856</xdr:rowOff>
    </xdr:from>
    <xdr:to>
      <xdr:col>39</xdr:col>
      <xdr:colOff>402166</xdr:colOff>
      <xdr:row>20</xdr:row>
      <xdr:rowOff>64556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337A88-2C4B-493C-BCC8-A0A2B5EEF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666750</xdr:colOff>
      <xdr:row>5</xdr:row>
      <xdr:rowOff>168274</xdr:rowOff>
    </xdr:from>
    <xdr:to>
      <xdr:col>34</xdr:col>
      <xdr:colOff>137583</xdr:colOff>
      <xdr:row>20</xdr:row>
      <xdr:rowOff>53974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8384446-DFBF-4EF5-9303-F64F7D577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797718</xdr:colOff>
      <xdr:row>22</xdr:row>
      <xdr:rowOff>27384</xdr:rowOff>
    </xdr:from>
    <xdr:to>
      <xdr:col>28</xdr:col>
      <xdr:colOff>738187</xdr:colOff>
      <xdr:row>36</xdr:row>
      <xdr:rowOff>103584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B5CFF9F-53A0-0681-1CFA-C344F686B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814918</xdr:colOff>
      <xdr:row>5</xdr:row>
      <xdr:rowOff>136523</xdr:rowOff>
    </xdr:from>
    <xdr:to>
      <xdr:col>28</xdr:col>
      <xdr:colOff>419100</xdr:colOff>
      <xdr:row>20</xdr:row>
      <xdr:rowOff>22223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07ACB0-045E-4444-97D3-60CFC3846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714374</xdr:colOff>
      <xdr:row>5</xdr:row>
      <xdr:rowOff>189441</xdr:rowOff>
    </xdr:from>
    <xdr:to>
      <xdr:col>38</xdr:col>
      <xdr:colOff>314324</xdr:colOff>
      <xdr:row>20</xdr:row>
      <xdr:rowOff>75141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B012DD-2EE6-47A2-9CA7-D4E180681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533400</xdr:colOff>
      <xdr:row>6</xdr:row>
      <xdr:rowOff>9522</xdr:rowOff>
    </xdr:from>
    <xdr:to>
      <xdr:col>43</xdr:col>
      <xdr:colOff>264584</xdr:colOff>
      <xdr:row>20</xdr:row>
      <xdr:rowOff>85722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71BCBA-10A0-4AC8-A91F-86272974A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5</xdr:row>
      <xdr:rowOff>178856</xdr:rowOff>
    </xdr:from>
    <xdr:to>
      <xdr:col>33</xdr:col>
      <xdr:colOff>402166</xdr:colOff>
      <xdr:row>20</xdr:row>
      <xdr:rowOff>64556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D0BD772-13B1-4813-9E0B-F2297EA3B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823912</xdr:colOff>
      <xdr:row>21</xdr:row>
      <xdr:rowOff>61912</xdr:rowOff>
    </xdr:from>
    <xdr:to>
      <xdr:col>28</xdr:col>
      <xdr:colOff>381000</xdr:colOff>
      <xdr:row>35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FC3084D-FF33-DD58-0881-25492EF76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619125</xdr:colOff>
      <xdr:row>10</xdr:row>
      <xdr:rowOff>133350</xdr:rowOff>
    </xdr:from>
    <xdr:to>
      <xdr:col>24</xdr:col>
      <xdr:colOff>200025</xdr:colOff>
      <xdr:row>26</xdr:row>
      <xdr:rowOff>133350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7AFFE09D-794A-9DD0-F440-C5EC7006A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352425</xdr:colOff>
      <xdr:row>10</xdr:row>
      <xdr:rowOff>133350</xdr:rowOff>
    </xdr:from>
    <xdr:to>
      <xdr:col>29</xdr:col>
      <xdr:colOff>523875</xdr:colOff>
      <xdr:row>26</xdr:row>
      <xdr:rowOff>157162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0E43947-CE8B-5088-B070-740D5AD1C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704850</xdr:colOff>
      <xdr:row>8</xdr:row>
      <xdr:rowOff>66675</xdr:rowOff>
    </xdr:from>
    <xdr:to>
      <xdr:col>32</xdr:col>
      <xdr:colOff>628650</xdr:colOff>
      <xdr:row>29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45E9CD-F79D-406E-8B3C-BEBD00FD2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9525</xdr:colOff>
      <xdr:row>8</xdr:row>
      <xdr:rowOff>104775</xdr:rowOff>
    </xdr:from>
    <xdr:to>
      <xdr:col>31</xdr:col>
      <xdr:colOff>447675</xdr:colOff>
      <xdr:row>26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5EFFD9-3130-4D8D-9F2D-705346C4B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29765</xdr:colOff>
      <xdr:row>0</xdr:row>
      <xdr:rowOff>182165</xdr:rowOff>
    </xdr:from>
    <xdr:to>
      <xdr:col>33</xdr:col>
      <xdr:colOff>523875</xdr:colOff>
      <xdr:row>18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E7E04A-F453-B611-BAFF-15E3F6F70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9555-3B6E-4454-A474-37D668FBABFD}">
  <sheetPr codeName="Hoja1"/>
  <dimension ref="B1:P171"/>
  <sheetViews>
    <sheetView zoomScale="90" zoomScaleNormal="90" workbookViewId="0">
      <selection activeCell="N161" sqref="N161"/>
    </sheetView>
  </sheetViews>
  <sheetFormatPr baseColWidth="10" defaultColWidth="11.42578125" defaultRowHeight="15" x14ac:dyDescent="0.25"/>
  <cols>
    <col min="1" max="1" width="11.42578125" style="1"/>
    <col min="2" max="2" width="3" style="1" customWidth="1"/>
    <col min="3" max="3" width="26.85546875" style="1" bestFit="1" customWidth="1"/>
    <col min="4" max="4" width="13.5703125" style="1" customWidth="1"/>
    <col min="5" max="5" width="13.42578125" style="1" customWidth="1"/>
    <col min="6" max="6" width="16.42578125" style="1" customWidth="1"/>
    <col min="7" max="7" width="11.42578125" style="1"/>
    <col min="8" max="8" width="18.42578125" style="1" customWidth="1"/>
    <col min="9" max="9" width="16.42578125" style="1" customWidth="1"/>
    <col min="10" max="10" width="11.42578125" style="1"/>
    <col min="11" max="11" width="2.42578125" style="1" customWidth="1"/>
    <col min="12" max="12" width="14.7109375" style="1" bestFit="1" customWidth="1"/>
    <col min="13" max="13" width="3" style="1" customWidth="1"/>
    <col min="14" max="14" width="26.85546875" style="1" bestFit="1" customWidth="1"/>
    <col min="15" max="15" width="13.5703125" style="1" customWidth="1"/>
    <col min="16" max="16" width="11.42578125" style="1"/>
    <col min="17" max="17" width="16.42578125" style="1" customWidth="1"/>
    <col min="18" max="18" width="11.42578125" style="1"/>
    <col min="19" max="19" width="17" style="1" customWidth="1"/>
    <col min="20" max="20" width="13.7109375" style="1" bestFit="1" customWidth="1"/>
    <col min="21" max="21" width="11.42578125" style="1"/>
    <col min="22" max="22" width="2.42578125" style="1" customWidth="1"/>
    <col min="23" max="16384" width="11.42578125" style="1"/>
  </cols>
  <sheetData>
    <row r="1" spans="2:16" ht="15.75" thickBot="1" x14ac:dyDescent="0.3">
      <c r="O1" s="12" t="s">
        <v>202</v>
      </c>
      <c r="P1" s="12">
        <v>39.5</v>
      </c>
    </row>
    <row r="2" spans="2:16" x14ac:dyDescent="0.25">
      <c r="B2" s="109" t="s">
        <v>285</v>
      </c>
      <c r="C2" s="110"/>
      <c r="D2" s="110"/>
      <c r="E2" s="110"/>
      <c r="F2" s="110"/>
      <c r="G2" s="110"/>
      <c r="H2" s="110"/>
      <c r="I2" s="110"/>
      <c r="J2" s="110"/>
      <c r="K2" s="111"/>
    </row>
    <row r="3" spans="2:16" ht="8.25" customHeight="1" x14ac:dyDescent="0.25">
      <c r="B3" s="112"/>
      <c r="K3" s="113"/>
    </row>
    <row r="4" spans="2:16" x14ac:dyDescent="0.25">
      <c r="B4" s="112"/>
      <c r="C4" s="158" t="s">
        <v>253</v>
      </c>
      <c r="D4" s="158"/>
      <c r="H4" s="159" t="s">
        <v>254</v>
      </c>
      <c r="I4" s="160"/>
      <c r="J4" s="161"/>
      <c r="K4" s="113"/>
    </row>
    <row r="5" spans="2:16" x14ac:dyDescent="0.25">
      <c r="B5" s="112"/>
      <c r="C5" s="2" t="s">
        <v>254</v>
      </c>
      <c r="D5" s="7">
        <v>446784590</v>
      </c>
      <c r="E5" s="1">
        <f>+D5/42</f>
        <v>10637728.333333334</v>
      </c>
      <c r="K5" s="113"/>
    </row>
    <row r="6" spans="2:16" x14ac:dyDescent="0.25">
      <c r="B6" s="112"/>
      <c r="C6" s="2" t="s">
        <v>255</v>
      </c>
      <c r="D6" s="7">
        <v>637404</v>
      </c>
      <c r="H6" s="2" t="s">
        <v>253</v>
      </c>
      <c r="I6" s="7">
        <v>446784590</v>
      </c>
      <c r="J6" s="100">
        <v>1</v>
      </c>
      <c r="K6" s="113"/>
    </row>
    <row r="7" spans="2:16" x14ac:dyDescent="0.25">
      <c r="B7" s="112"/>
      <c r="C7" s="2" t="s">
        <v>256</v>
      </c>
      <c r="D7" s="7">
        <v>451303</v>
      </c>
      <c r="H7" s="2" t="s">
        <v>259</v>
      </c>
      <c r="I7" s="27">
        <f>+J7*$I$6</f>
        <v>22339229.5</v>
      </c>
      <c r="J7" s="100">
        <v>0.05</v>
      </c>
      <c r="K7" s="113"/>
    </row>
    <row r="8" spans="2:16" x14ac:dyDescent="0.25">
      <c r="B8" s="112"/>
      <c r="H8" s="2" t="s">
        <v>258</v>
      </c>
      <c r="I8" s="27">
        <f>+J8*$I$6</f>
        <v>22339229.5</v>
      </c>
      <c r="J8" s="100">
        <v>0.05</v>
      </c>
      <c r="K8" s="113"/>
    </row>
    <row r="9" spans="2:16" x14ac:dyDescent="0.25">
      <c r="B9" s="112"/>
      <c r="H9" s="2" t="s">
        <v>250</v>
      </c>
      <c r="I9" s="27">
        <f>+J9*$I$6</f>
        <v>11169614.75</v>
      </c>
      <c r="J9" s="101">
        <v>2.5000000000000001E-2</v>
      </c>
      <c r="K9" s="113"/>
    </row>
    <row r="10" spans="2:16" x14ac:dyDescent="0.25">
      <c r="B10" s="112"/>
      <c r="C10" s="158" t="s">
        <v>257</v>
      </c>
      <c r="D10" s="158"/>
      <c r="E10" s="158"/>
      <c r="F10" s="158"/>
      <c r="K10" s="113"/>
    </row>
    <row r="11" spans="2:16" x14ac:dyDescent="0.25">
      <c r="B11" s="112"/>
      <c r="C11" s="157" t="s">
        <v>254</v>
      </c>
      <c r="D11" s="2" t="s">
        <v>9</v>
      </c>
      <c r="E11" s="96">
        <v>0.02</v>
      </c>
      <c r="F11" s="27">
        <f>+E11*D5</f>
        <v>8935691.8000000007</v>
      </c>
      <c r="H11" s="159" t="s">
        <v>255</v>
      </c>
      <c r="I11" s="160"/>
      <c r="J11" s="161"/>
      <c r="K11" s="113"/>
    </row>
    <row r="12" spans="2:16" x14ac:dyDescent="0.25">
      <c r="B12" s="112"/>
      <c r="C12" s="157"/>
      <c r="D12" s="2" t="s">
        <v>10</v>
      </c>
      <c r="E12" s="99">
        <v>1.4999999999999999E-2</v>
      </c>
      <c r="F12" s="27">
        <f>+E12*D5</f>
        <v>6701768.8499999996</v>
      </c>
      <c r="K12" s="113"/>
    </row>
    <row r="13" spans="2:16" x14ac:dyDescent="0.25">
      <c r="B13" s="112"/>
      <c r="C13" s="157"/>
      <c r="D13" s="2" t="s">
        <v>11</v>
      </c>
      <c r="E13" s="99">
        <v>1.4999999999999999E-2</v>
      </c>
      <c r="F13" s="27">
        <f>+E13*D5</f>
        <v>6701768.8499999996</v>
      </c>
      <c r="H13" s="2" t="s">
        <v>253</v>
      </c>
      <c r="I13" s="7">
        <v>637404</v>
      </c>
      <c r="J13" s="100">
        <v>1</v>
      </c>
      <c r="K13" s="113"/>
    </row>
    <row r="14" spans="2:16" x14ac:dyDescent="0.25">
      <c r="B14" s="112"/>
      <c r="C14" s="150" t="s">
        <v>5</v>
      </c>
      <c r="D14" s="151"/>
      <c r="E14" s="98">
        <f>+SUM(E11:E13)</f>
        <v>0.05</v>
      </c>
      <c r="F14" s="26">
        <f>+SUM(F11:F13)</f>
        <v>22339229.5</v>
      </c>
      <c r="H14" s="2" t="s">
        <v>259</v>
      </c>
      <c r="I14" s="27">
        <f>+J14*$I$13</f>
        <v>31870.2</v>
      </c>
      <c r="J14" s="100">
        <v>0.05</v>
      </c>
      <c r="K14" s="113"/>
    </row>
    <row r="15" spans="2:16" x14ac:dyDescent="0.25">
      <c r="B15" s="112"/>
      <c r="C15" s="157" t="s">
        <v>255</v>
      </c>
      <c r="D15" s="2" t="s">
        <v>9</v>
      </c>
      <c r="E15" s="96">
        <v>0.02</v>
      </c>
      <c r="F15" s="27">
        <f>+E15+D6</f>
        <v>637404.02</v>
      </c>
      <c r="H15" s="2" t="s">
        <v>258</v>
      </c>
      <c r="I15" s="27">
        <f>+J15*$I$13</f>
        <v>31870.2</v>
      </c>
      <c r="J15" s="100">
        <v>0.05</v>
      </c>
      <c r="K15" s="113"/>
    </row>
    <row r="16" spans="2:16" x14ac:dyDescent="0.25">
      <c r="B16" s="112"/>
      <c r="C16" s="157"/>
      <c r="D16" s="2" t="s">
        <v>10</v>
      </c>
      <c r="E16" s="99">
        <v>1.4999999999999999E-2</v>
      </c>
      <c r="F16" s="27">
        <f>+E16*D6</f>
        <v>9561.06</v>
      </c>
      <c r="H16" s="2" t="s">
        <v>250</v>
      </c>
      <c r="I16" s="27">
        <f>+J16*$I$13</f>
        <v>15935.1</v>
      </c>
      <c r="J16" s="101">
        <v>2.5000000000000001E-2</v>
      </c>
      <c r="K16" s="113"/>
    </row>
    <row r="17" spans="2:11" x14ac:dyDescent="0.25">
      <c r="B17" s="112"/>
      <c r="C17" s="157"/>
      <c r="D17" s="2" t="s">
        <v>11</v>
      </c>
      <c r="E17" s="99">
        <v>1.4999999999999999E-2</v>
      </c>
      <c r="F17" s="27">
        <f>+E17*D6</f>
        <v>9561.06</v>
      </c>
      <c r="K17" s="113"/>
    </row>
    <row r="18" spans="2:11" x14ac:dyDescent="0.25">
      <c r="B18" s="112"/>
      <c r="C18" s="150" t="s">
        <v>5</v>
      </c>
      <c r="D18" s="151"/>
      <c r="E18" s="98">
        <f>+SUM(E15:E17)</f>
        <v>0.05</v>
      </c>
      <c r="F18" s="26">
        <f>+SUM(F15:F17)</f>
        <v>656526.14000000013</v>
      </c>
      <c r="H18" s="159" t="s">
        <v>256</v>
      </c>
      <c r="I18" s="160"/>
      <c r="J18" s="161"/>
      <c r="K18" s="113"/>
    </row>
    <row r="19" spans="2:11" x14ac:dyDescent="0.25">
      <c r="B19" s="112"/>
      <c r="C19" s="157" t="s">
        <v>256</v>
      </c>
      <c r="D19" s="2" t="s">
        <v>9</v>
      </c>
      <c r="E19" s="96">
        <v>0.02</v>
      </c>
      <c r="F19" s="27">
        <f>+E19*D7</f>
        <v>9026.06</v>
      </c>
      <c r="K19" s="113"/>
    </row>
    <row r="20" spans="2:11" x14ac:dyDescent="0.25">
      <c r="B20" s="112"/>
      <c r="C20" s="157"/>
      <c r="D20" s="2" t="s">
        <v>10</v>
      </c>
      <c r="E20" s="99">
        <v>1.4999999999999999E-2</v>
      </c>
      <c r="F20" s="27">
        <f>+E20*D7</f>
        <v>6769.5450000000001</v>
      </c>
      <c r="H20" s="2" t="s">
        <v>253</v>
      </c>
      <c r="I20" s="7">
        <v>451303</v>
      </c>
      <c r="J20" s="100">
        <v>1</v>
      </c>
      <c r="K20" s="113"/>
    </row>
    <row r="21" spans="2:11" x14ac:dyDescent="0.25">
      <c r="B21" s="112"/>
      <c r="C21" s="157"/>
      <c r="D21" s="2" t="s">
        <v>11</v>
      </c>
      <c r="E21" s="99">
        <v>1.4999999999999999E-2</v>
      </c>
      <c r="F21" s="27">
        <f>+E21*D7</f>
        <v>6769.5450000000001</v>
      </c>
      <c r="H21" s="2" t="s">
        <v>259</v>
      </c>
      <c r="I21" s="27">
        <f>+J21*$I$20</f>
        <v>22565.15</v>
      </c>
      <c r="J21" s="100">
        <v>0.05</v>
      </c>
      <c r="K21" s="113"/>
    </row>
    <row r="22" spans="2:11" x14ac:dyDescent="0.25">
      <c r="B22" s="112"/>
      <c r="C22" s="150" t="s">
        <v>5</v>
      </c>
      <c r="D22" s="151"/>
      <c r="E22" s="98">
        <f>+SUM(E19:E21)</f>
        <v>0.05</v>
      </c>
      <c r="F22" s="26">
        <f>+SUM(F19:F21)</f>
        <v>22565.15</v>
      </c>
      <c r="H22" s="2" t="s">
        <v>258</v>
      </c>
      <c r="I22" s="27">
        <f>+J22*$I$20</f>
        <v>22565.15</v>
      </c>
      <c r="J22" s="100">
        <v>0.05</v>
      </c>
      <c r="K22" s="113"/>
    </row>
    <row r="23" spans="2:11" x14ac:dyDescent="0.25">
      <c r="B23" s="112"/>
      <c r="C23" s="116"/>
      <c r="E23" s="97"/>
      <c r="F23" s="19"/>
      <c r="H23" s="2" t="s">
        <v>250</v>
      </c>
      <c r="I23" s="27">
        <f>+J23*$I$20</f>
        <v>11282.575000000001</v>
      </c>
      <c r="J23" s="101">
        <v>2.5000000000000001E-2</v>
      </c>
      <c r="K23" s="113"/>
    </row>
    <row r="24" spans="2:11" x14ac:dyDescent="0.25">
      <c r="B24" s="112"/>
      <c r="K24" s="113"/>
    </row>
    <row r="25" spans="2:11" x14ac:dyDescent="0.25">
      <c r="B25" s="112"/>
      <c r="C25" s="152" t="s">
        <v>258</v>
      </c>
      <c r="D25" s="153"/>
      <c r="E25" s="154"/>
      <c r="K25" s="113"/>
    </row>
    <row r="26" spans="2:11" x14ac:dyDescent="0.25">
      <c r="B26" s="112"/>
      <c r="C26" s="2" t="s">
        <v>254</v>
      </c>
      <c r="D26" s="155">
        <v>0.05</v>
      </c>
      <c r="E26" s="27">
        <f>+$D$26*D5</f>
        <v>22339229.5</v>
      </c>
      <c r="K26" s="113"/>
    </row>
    <row r="27" spans="2:11" x14ac:dyDescent="0.25">
      <c r="B27" s="112"/>
      <c r="C27" s="2" t="s">
        <v>255</v>
      </c>
      <c r="D27" s="155"/>
      <c r="E27" s="27">
        <f>+$D$26*D6</f>
        <v>31870.2</v>
      </c>
      <c r="K27" s="113"/>
    </row>
    <row r="28" spans="2:11" x14ac:dyDescent="0.25">
      <c r="B28" s="112"/>
      <c r="C28" s="2" t="s">
        <v>256</v>
      </c>
      <c r="D28" s="155"/>
      <c r="E28" s="27">
        <f>+$D$26*D7</f>
        <v>22565.15</v>
      </c>
      <c r="K28" s="113"/>
    </row>
    <row r="29" spans="2:11" x14ac:dyDescent="0.25">
      <c r="B29" s="112"/>
      <c r="K29" s="113"/>
    </row>
    <row r="30" spans="2:11" x14ac:dyDescent="0.25">
      <c r="B30" s="112"/>
      <c r="K30" s="113"/>
    </row>
    <row r="31" spans="2:11" x14ac:dyDescent="0.25">
      <c r="B31" s="112"/>
      <c r="C31" s="152" t="s">
        <v>250</v>
      </c>
      <c r="D31" s="153"/>
      <c r="E31" s="154"/>
      <c r="K31" s="113"/>
    </row>
    <row r="32" spans="2:11" x14ac:dyDescent="0.25">
      <c r="B32" s="112"/>
      <c r="C32" s="2" t="s">
        <v>254</v>
      </c>
      <c r="D32" s="162">
        <v>2.5000000000000001E-2</v>
      </c>
      <c r="E32" s="27">
        <f>+$D$32*D5</f>
        <v>11169614.75</v>
      </c>
      <c r="K32" s="113"/>
    </row>
    <row r="33" spans="2:11" x14ac:dyDescent="0.25">
      <c r="B33" s="112"/>
      <c r="C33" s="2" t="s">
        <v>255</v>
      </c>
      <c r="D33" s="162"/>
      <c r="E33" s="27">
        <f>+$D$32*D6</f>
        <v>15935.1</v>
      </c>
      <c r="K33" s="113"/>
    </row>
    <row r="34" spans="2:11" x14ac:dyDescent="0.25">
      <c r="B34" s="112"/>
      <c r="C34" s="2" t="s">
        <v>256</v>
      </c>
      <c r="D34" s="162"/>
      <c r="E34" s="27">
        <f>+$D$32*D7</f>
        <v>11282.575000000001</v>
      </c>
      <c r="K34" s="113"/>
    </row>
    <row r="35" spans="2:11" ht="10.5" customHeight="1" thickBot="1" x14ac:dyDescent="0.3">
      <c r="B35" s="117"/>
      <c r="C35" s="114"/>
      <c r="D35" s="118"/>
      <c r="E35" s="119"/>
      <c r="F35" s="114"/>
      <c r="G35" s="114"/>
      <c r="H35" s="114"/>
      <c r="I35" s="114"/>
      <c r="J35" s="114"/>
      <c r="K35" s="115"/>
    </row>
    <row r="36" spans="2:11" ht="10.5" customHeight="1" x14ac:dyDescent="0.25">
      <c r="D36" s="121"/>
      <c r="E36" s="19"/>
    </row>
    <row r="37" spans="2:11" ht="10.5" customHeight="1" thickBot="1" x14ac:dyDescent="0.3">
      <c r="D37" s="121"/>
      <c r="E37" s="19"/>
    </row>
    <row r="38" spans="2:11" x14ac:dyDescent="0.25">
      <c r="B38" s="109" t="s">
        <v>286</v>
      </c>
      <c r="C38" s="110"/>
      <c r="D38" s="110"/>
      <c r="E38" s="110"/>
      <c r="F38" s="110"/>
      <c r="G38" s="110"/>
      <c r="H38" s="110"/>
      <c r="I38" s="110"/>
      <c r="J38" s="110"/>
      <c r="K38" s="111"/>
    </row>
    <row r="39" spans="2:11" x14ac:dyDescent="0.25">
      <c r="B39" s="112"/>
      <c r="K39" s="113"/>
    </row>
    <row r="40" spans="2:11" x14ac:dyDescent="0.25">
      <c r="B40" s="112"/>
      <c r="C40" s="158" t="s">
        <v>253</v>
      </c>
      <c r="D40" s="158"/>
      <c r="H40" s="159" t="s">
        <v>254</v>
      </c>
      <c r="I40" s="160"/>
      <c r="J40" s="161"/>
      <c r="K40" s="113"/>
    </row>
    <row r="41" spans="2:11" x14ac:dyDescent="0.25">
      <c r="B41" s="112"/>
      <c r="C41" s="2" t="s">
        <v>254</v>
      </c>
      <c r="D41" s="7">
        <f>+D5/P1</f>
        <v>11311002.278481012</v>
      </c>
      <c r="K41" s="113"/>
    </row>
    <row r="42" spans="2:11" x14ac:dyDescent="0.25">
      <c r="B42" s="112"/>
      <c r="C42" s="2" t="s">
        <v>255</v>
      </c>
      <c r="D42" s="7">
        <v>637404</v>
      </c>
      <c r="H42" s="2" t="s">
        <v>253</v>
      </c>
      <c r="I42" s="7">
        <f>+D41</f>
        <v>11311002.278481012</v>
      </c>
      <c r="J42" s="100">
        <v>1</v>
      </c>
      <c r="K42" s="113"/>
    </row>
    <row r="43" spans="2:11" x14ac:dyDescent="0.25">
      <c r="B43" s="112"/>
      <c r="C43" s="2" t="s">
        <v>256</v>
      </c>
      <c r="D43" s="7">
        <v>451303</v>
      </c>
      <c r="H43" s="2" t="s">
        <v>259</v>
      </c>
      <c r="I43" s="27">
        <f>+J43*$I$42</f>
        <v>565550.11392405059</v>
      </c>
      <c r="J43" s="100">
        <v>0.05</v>
      </c>
      <c r="K43" s="113"/>
    </row>
    <row r="44" spans="2:11" x14ac:dyDescent="0.25">
      <c r="B44" s="112"/>
      <c r="D44" s="19">
        <f>+D41+D42+D43</f>
        <v>12399709.278481012</v>
      </c>
      <c r="H44" s="2" t="s">
        <v>258</v>
      </c>
      <c r="I44" s="27">
        <f t="shared" ref="I44:I45" si="0">+J44*$I$42</f>
        <v>565550.11392405059</v>
      </c>
      <c r="J44" s="100">
        <v>0.05</v>
      </c>
      <c r="K44" s="113"/>
    </row>
    <row r="45" spans="2:11" x14ac:dyDescent="0.25">
      <c r="B45" s="112"/>
      <c r="H45" s="2" t="s">
        <v>250</v>
      </c>
      <c r="I45" s="27">
        <f t="shared" si="0"/>
        <v>282775.05696202529</v>
      </c>
      <c r="J45" s="101">
        <v>2.5000000000000001E-2</v>
      </c>
      <c r="K45" s="113"/>
    </row>
    <row r="46" spans="2:11" x14ac:dyDescent="0.25">
      <c r="B46" s="112"/>
      <c r="C46" s="158" t="s">
        <v>257</v>
      </c>
      <c r="D46" s="158"/>
      <c r="E46" s="158"/>
      <c r="F46" s="158"/>
      <c r="K46" s="113"/>
    </row>
    <row r="47" spans="2:11" x14ac:dyDescent="0.25">
      <c r="B47" s="112"/>
      <c r="C47" s="157" t="s">
        <v>254</v>
      </c>
      <c r="D47" s="2" t="s">
        <v>9</v>
      </c>
      <c r="E47" s="96">
        <v>0.02</v>
      </c>
      <c r="F47" s="27">
        <f>+E47*D41</f>
        <v>226220.04556962024</v>
      </c>
      <c r="H47" s="159" t="s">
        <v>255</v>
      </c>
      <c r="I47" s="160"/>
      <c r="J47" s="161"/>
      <c r="K47" s="113"/>
    </row>
    <row r="48" spans="2:11" x14ac:dyDescent="0.25">
      <c r="B48" s="112"/>
      <c r="C48" s="157"/>
      <c r="D48" s="2" t="s">
        <v>10</v>
      </c>
      <c r="E48" s="99">
        <v>1.4999999999999999E-2</v>
      </c>
      <c r="F48" s="27">
        <f>+E48*D41</f>
        <v>169665.03417721519</v>
      </c>
      <c r="K48" s="113"/>
    </row>
    <row r="49" spans="2:11" x14ac:dyDescent="0.25">
      <c r="B49" s="112"/>
      <c r="C49" s="157"/>
      <c r="D49" s="2" t="s">
        <v>11</v>
      </c>
      <c r="E49" s="99">
        <v>1.4999999999999999E-2</v>
      </c>
      <c r="F49" s="27">
        <f>+E49*D41</f>
        <v>169665.03417721519</v>
      </c>
      <c r="H49" s="2" t="s">
        <v>253</v>
      </c>
      <c r="I49" s="7">
        <v>637404</v>
      </c>
      <c r="J49" s="100">
        <v>1</v>
      </c>
      <c r="K49" s="113"/>
    </row>
    <row r="50" spans="2:11" x14ac:dyDescent="0.25">
      <c r="B50" s="112"/>
      <c r="C50" s="150" t="s">
        <v>5</v>
      </c>
      <c r="D50" s="151"/>
      <c r="E50" s="98">
        <f>+SUM(E47:E49)</f>
        <v>0.05</v>
      </c>
      <c r="F50" s="26">
        <f>+SUM(F47:F49)</f>
        <v>565550.11392405059</v>
      </c>
      <c r="H50" s="2" t="s">
        <v>259</v>
      </c>
      <c r="I50" s="27">
        <f>+J50*$I$13</f>
        <v>31870.2</v>
      </c>
      <c r="J50" s="100">
        <v>0.05</v>
      </c>
      <c r="K50" s="113"/>
    </row>
    <row r="51" spans="2:11" x14ac:dyDescent="0.25">
      <c r="B51" s="112"/>
      <c r="C51" s="157" t="s">
        <v>255</v>
      </c>
      <c r="D51" s="2" t="s">
        <v>9</v>
      </c>
      <c r="E51" s="96">
        <v>0.02</v>
      </c>
      <c r="F51" s="27">
        <f>+E51+D42</f>
        <v>637404.02</v>
      </c>
      <c r="H51" s="2" t="s">
        <v>258</v>
      </c>
      <c r="I51" s="27">
        <f>+J51*$I$13</f>
        <v>31870.2</v>
      </c>
      <c r="J51" s="100">
        <v>0.05</v>
      </c>
      <c r="K51" s="113"/>
    </row>
    <row r="52" spans="2:11" x14ac:dyDescent="0.25">
      <c r="B52" s="112"/>
      <c r="C52" s="157"/>
      <c r="D52" s="2" t="s">
        <v>10</v>
      </c>
      <c r="E52" s="99">
        <v>1.4999999999999999E-2</v>
      </c>
      <c r="F52" s="27">
        <f>+E52*D42</f>
        <v>9561.06</v>
      </c>
      <c r="H52" s="2" t="s">
        <v>250</v>
      </c>
      <c r="I52" s="27">
        <f>+J52*$I$13</f>
        <v>15935.1</v>
      </c>
      <c r="J52" s="101">
        <v>2.5000000000000001E-2</v>
      </c>
      <c r="K52" s="113"/>
    </row>
    <row r="53" spans="2:11" x14ac:dyDescent="0.25">
      <c r="B53" s="112"/>
      <c r="C53" s="157"/>
      <c r="D53" s="2" t="s">
        <v>11</v>
      </c>
      <c r="E53" s="99">
        <v>1.4999999999999999E-2</v>
      </c>
      <c r="F53" s="27">
        <f>+E53*D42</f>
        <v>9561.06</v>
      </c>
      <c r="K53" s="113"/>
    </row>
    <row r="54" spans="2:11" x14ac:dyDescent="0.25">
      <c r="B54" s="112"/>
      <c r="C54" s="150" t="s">
        <v>5</v>
      </c>
      <c r="D54" s="151"/>
      <c r="E54" s="98">
        <f>+SUM(E51:E53)</f>
        <v>0.05</v>
      </c>
      <c r="F54" s="26">
        <f>+SUM(F51:F53)</f>
        <v>656526.14000000013</v>
      </c>
      <c r="H54" s="159" t="s">
        <v>256</v>
      </c>
      <c r="I54" s="160"/>
      <c r="J54" s="161"/>
      <c r="K54" s="113"/>
    </row>
    <row r="55" spans="2:11" x14ac:dyDescent="0.25">
      <c r="B55" s="112"/>
      <c r="C55" s="157" t="s">
        <v>256</v>
      </c>
      <c r="D55" s="2" t="s">
        <v>9</v>
      </c>
      <c r="E55" s="96">
        <v>0.02</v>
      </c>
      <c r="F55" s="27">
        <f>+E55*D43</f>
        <v>9026.06</v>
      </c>
      <c r="K55" s="113"/>
    </row>
    <row r="56" spans="2:11" x14ac:dyDescent="0.25">
      <c r="B56" s="112"/>
      <c r="C56" s="157"/>
      <c r="D56" s="2" t="s">
        <v>10</v>
      </c>
      <c r="E56" s="99">
        <v>1.4999999999999999E-2</v>
      </c>
      <c r="F56" s="27">
        <f>+E56*D43</f>
        <v>6769.5450000000001</v>
      </c>
      <c r="H56" s="2" t="s">
        <v>253</v>
      </c>
      <c r="I56" s="7">
        <v>451303</v>
      </c>
      <c r="J56" s="100">
        <v>1</v>
      </c>
      <c r="K56" s="113"/>
    </row>
    <row r="57" spans="2:11" x14ac:dyDescent="0.25">
      <c r="B57" s="112"/>
      <c r="C57" s="157"/>
      <c r="D57" s="2" t="s">
        <v>11</v>
      </c>
      <c r="E57" s="99">
        <v>1.4999999999999999E-2</v>
      </c>
      <c r="F57" s="27">
        <f>+E57*D43</f>
        <v>6769.5450000000001</v>
      </c>
      <c r="H57" s="2" t="s">
        <v>259</v>
      </c>
      <c r="I57" s="27">
        <f>+J57*$I$20</f>
        <v>22565.15</v>
      </c>
      <c r="J57" s="100">
        <v>0.05</v>
      </c>
      <c r="K57" s="113"/>
    </row>
    <row r="58" spans="2:11" x14ac:dyDescent="0.25">
      <c r="B58" s="112"/>
      <c r="C58" s="150" t="s">
        <v>5</v>
      </c>
      <c r="D58" s="151"/>
      <c r="E58" s="98">
        <f>+SUM(E55:E57)</f>
        <v>0.05</v>
      </c>
      <c r="F58" s="26">
        <f>+SUM(F55:F57)</f>
        <v>22565.15</v>
      </c>
      <c r="H58" s="2" t="s">
        <v>258</v>
      </c>
      <c r="I58" s="27">
        <f>+J58*$I$20</f>
        <v>22565.15</v>
      </c>
      <c r="J58" s="100">
        <v>0.05</v>
      </c>
      <c r="K58" s="113"/>
    </row>
    <row r="59" spans="2:11" x14ac:dyDescent="0.25">
      <c r="B59" s="112"/>
      <c r="C59" s="116"/>
      <c r="E59" s="97"/>
      <c r="F59" s="19">
        <f>+F50+F54+F58</f>
        <v>1244641.4039240507</v>
      </c>
      <c r="H59" s="2" t="s">
        <v>250</v>
      </c>
      <c r="I59" s="27">
        <f>+J59*$I$20</f>
        <v>11282.575000000001</v>
      </c>
      <c r="J59" s="101">
        <v>2.5000000000000001E-2</v>
      </c>
      <c r="K59" s="113"/>
    </row>
    <row r="60" spans="2:11" x14ac:dyDescent="0.25">
      <c r="B60" s="112"/>
      <c r="K60" s="113"/>
    </row>
    <row r="61" spans="2:11" x14ac:dyDescent="0.25">
      <c r="B61" s="112"/>
      <c r="C61" s="152" t="s">
        <v>258</v>
      </c>
      <c r="D61" s="153"/>
      <c r="E61" s="154"/>
      <c r="K61" s="113"/>
    </row>
    <row r="62" spans="2:11" x14ac:dyDescent="0.25">
      <c r="B62" s="112"/>
      <c r="C62" s="2" t="s">
        <v>254</v>
      </c>
      <c r="D62" s="155">
        <v>0.05</v>
      </c>
      <c r="E62" s="27">
        <f>+$D$62*D41</f>
        <v>565550.11392405059</v>
      </c>
      <c r="K62" s="113"/>
    </row>
    <row r="63" spans="2:11" x14ac:dyDescent="0.25">
      <c r="B63" s="112"/>
      <c r="C63" s="2" t="s">
        <v>255</v>
      </c>
      <c r="D63" s="155"/>
      <c r="E63" s="27">
        <f>+$D$26*D42</f>
        <v>31870.2</v>
      </c>
      <c r="K63" s="113"/>
    </row>
    <row r="64" spans="2:11" x14ac:dyDescent="0.25">
      <c r="B64" s="112"/>
      <c r="C64" s="2" t="s">
        <v>256</v>
      </c>
      <c r="D64" s="155"/>
      <c r="E64" s="27">
        <f>+$D$26*D43</f>
        <v>22565.15</v>
      </c>
      <c r="K64" s="113"/>
    </row>
    <row r="65" spans="2:11" x14ac:dyDescent="0.25">
      <c r="B65" s="112"/>
      <c r="K65" s="113"/>
    </row>
    <row r="66" spans="2:11" x14ac:dyDescent="0.25">
      <c r="B66" s="112"/>
      <c r="K66" s="113"/>
    </row>
    <row r="67" spans="2:11" x14ac:dyDescent="0.25">
      <c r="B67" s="112"/>
      <c r="C67" s="152" t="s">
        <v>250</v>
      </c>
      <c r="D67" s="153"/>
      <c r="E67" s="154"/>
      <c r="K67" s="113"/>
    </row>
    <row r="68" spans="2:11" x14ac:dyDescent="0.25">
      <c r="B68" s="112"/>
      <c r="C68" s="2" t="s">
        <v>254</v>
      </c>
      <c r="D68" s="162">
        <v>2.5000000000000001E-2</v>
      </c>
      <c r="E68" s="27">
        <f>+$D$68*D41</f>
        <v>282775.05696202529</v>
      </c>
      <c r="K68" s="113"/>
    </row>
    <row r="69" spans="2:11" x14ac:dyDescent="0.25">
      <c r="B69" s="112"/>
      <c r="C69" s="2" t="s">
        <v>255</v>
      </c>
      <c r="D69" s="162"/>
      <c r="E69" s="27">
        <f>+$D$32*D42</f>
        <v>15935.1</v>
      </c>
      <c r="K69" s="113"/>
    </row>
    <row r="70" spans="2:11" x14ac:dyDescent="0.25">
      <c r="B70" s="112"/>
      <c r="C70" s="2" t="s">
        <v>256</v>
      </c>
      <c r="D70" s="162"/>
      <c r="E70" s="27">
        <f>+$D$32*D43</f>
        <v>11282.575000000001</v>
      </c>
      <c r="K70" s="113"/>
    </row>
    <row r="71" spans="2:11" ht="15.75" thickBot="1" x14ac:dyDescent="0.3">
      <c r="B71" s="117"/>
      <c r="C71" s="114"/>
      <c r="D71" s="118"/>
      <c r="E71" s="119"/>
      <c r="F71" s="114"/>
      <c r="G71" s="114"/>
      <c r="H71" s="114"/>
      <c r="I71" s="114"/>
      <c r="J71" s="114"/>
      <c r="K71" s="115"/>
    </row>
    <row r="72" spans="2:11" x14ac:dyDescent="0.25">
      <c r="D72" s="121"/>
      <c r="E72" s="19"/>
    </row>
    <row r="74" spans="2:11" ht="15.75" thickBot="1" x14ac:dyDescent="0.3"/>
    <row r="75" spans="2:11" x14ac:dyDescent="0.25">
      <c r="B75" s="109" t="s">
        <v>278</v>
      </c>
      <c r="C75" s="110"/>
      <c r="D75" s="110"/>
      <c r="E75" s="110"/>
      <c r="F75" s="110"/>
      <c r="G75" s="110"/>
      <c r="H75" s="110"/>
      <c r="I75" s="110"/>
      <c r="J75" s="110"/>
      <c r="K75" s="111"/>
    </row>
    <row r="76" spans="2:11" x14ac:dyDescent="0.25">
      <c r="B76" s="112"/>
      <c r="K76" s="113"/>
    </row>
    <row r="77" spans="2:11" x14ac:dyDescent="0.25">
      <c r="B77" s="112"/>
      <c r="C77" s="158" t="s">
        <v>271</v>
      </c>
      <c r="D77" s="158"/>
      <c r="E77" s="158"/>
      <c r="F77" s="158"/>
      <c r="H77" s="159" t="s">
        <v>254</v>
      </c>
      <c r="I77" s="160"/>
      <c r="J77" s="161"/>
      <c r="K77" s="113"/>
    </row>
    <row r="78" spans="2:11" x14ac:dyDescent="0.25">
      <c r="B78" s="112"/>
      <c r="C78" s="158" t="s">
        <v>253</v>
      </c>
      <c r="D78" s="158"/>
      <c r="E78" s="3" t="s">
        <v>44</v>
      </c>
      <c r="F78" s="3" t="s">
        <v>277</v>
      </c>
      <c r="H78" s="13"/>
      <c r="I78" s="13"/>
      <c r="J78" s="13"/>
      <c r="K78" s="113"/>
    </row>
    <row r="79" spans="2:11" x14ac:dyDescent="0.25">
      <c r="B79" s="112"/>
      <c r="C79" s="2" t="s">
        <v>254</v>
      </c>
      <c r="D79" s="27">
        <f>+D5</f>
        <v>446784590</v>
      </c>
      <c r="E79" s="7">
        <f>+'Básico $'!Y4</f>
        <v>268106410.13</v>
      </c>
      <c r="F79" s="27">
        <f>+D79-E79</f>
        <v>178678179.87</v>
      </c>
      <c r="H79" s="2" t="s">
        <v>44</v>
      </c>
      <c r="I79" s="7">
        <f>+E79</f>
        <v>268106410.13</v>
      </c>
      <c r="J79" s="100"/>
      <c r="K79" s="113"/>
    </row>
    <row r="80" spans="2:11" x14ac:dyDescent="0.25">
      <c r="B80" s="112"/>
      <c r="C80" s="2" t="s">
        <v>255</v>
      </c>
      <c r="D80" s="27">
        <f>+D6</f>
        <v>637404</v>
      </c>
      <c r="E80" s="7">
        <f>+'Básico USD Plaza'!W4</f>
        <v>193264.92</v>
      </c>
      <c r="F80" s="27">
        <f t="shared" ref="F80:F81" si="1">+D80-E80</f>
        <v>444139.07999999996</v>
      </c>
      <c r="H80" s="2" t="s">
        <v>259</v>
      </c>
      <c r="I80" s="27">
        <f>+F88</f>
        <v>8636156.8818366397</v>
      </c>
      <c r="J80" s="100">
        <f>+I80/$D$79</f>
        <v>1.9329576433772346E-2</v>
      </c>
      <c r="K80" s="113"/>
    </row>
    <row r="81" spans="2:11" x14ac:dyDescent="0.25">
      <c r="B81" s="112"/>
      <c r="C81" s="2" t="s">
        <v>256</v>
      </c>
      <c r="D81" s="27">
        <f>+D7</f>
        <v>451303</v>
      </c>
      <c r="E81" s="7">
        <f>+'Básico USD CIF'!W4</f>
        <v>104785.14</v>
      </c>
      <c r="F81" s="27">
        <f t="shared" si="1"/>
        <v>346517.86</v>
      </c>
      <c r="H81" s="2" t="s">
        <v>258</v>
      </c>
      <c r="I81" s="27">
        <f>+E100</f>
        <v>13405320.506500002</v>
      </c>
      <c r="J81" s="100">
        <f t="shared" ref="J81:J85" si="2">+I81/$D$79</f>
        <v>3.0003990304365694E-2</v>
      </c>
      <c r="K81" s="113"/>
    </row>
    <row r="82" spans="2:11" x14ac:dyDescent="0.25">
      <c r="B82" s="112"/>
      <c r="H82" s="2" t="s">
        <v>250</v>
      </c>
      <c r="I82" s="27">
        <f>+E110</f>
        <v>6702660.253250001</v>
      </c>
      <c r="J82" s="100">
        <f t="shared" si="2"/>
        <v>1.5001995152182847E-2</v>
      </c>
      <c r="K82" s="113"/>
    </row>
    <row r="83" spans="2:11" x14ac:dyDescent="0.25">
      <c r="B83" s="112"/>
      <c r="H83" s="2" t="s">
        <v>248</v>
      </c>
      <c r="I83" s="27">
        <f>+'Básico $'!$Y$10</f>
        <v>220082</v>
      </c>
      <c r="J83" s="100">
        <f t="shared" si="2"/>
        <v>4.9259084786250123E-4</v>
      </c>
      <c r="K83" s="113"/>
    </row>
    <row r="84" spans="2:11" x14ac:dyDescent="0.25">
      <c r="B84" s="112"/>
      <c r="C84" s="158" t="s">
        <v>257</v>
      </c>
      <c r="D84" s="158"/>
      <c r="E84" s="158"/>
      <c r="F84" s="158"/>
      <c r="H84" s="2" t="s">
        <v>306</v>
      </c>
      <c r="I84" s="27">
        <f>+I79-I80-I81-I82-I83</f>
        <v>239142190.48841333</v>
      </c>
      <c r="J84" s="100">
        <f t="shared" si="2"/>
        <v>0.53525165334913039</v>
      </c>
      <c r="K84" s="113"/>
    </row>
    <row r="85" spans="2:11" x14ac:dyDescent="0.25">
      <c r="B85" s="112"/>
      <c r="C85" s="157" t="s">
        <v>254</v>
      </c>
      <c r="D85" s="2" t="s">
        <v>9</v>
      </c>
      <c r="E85" s="96">
        <v>0.02</v>
      </c>
      <c r="F85" s="27">
        <f>+'Básico $'!I25</f>
        <v>5058742.4366027396</v>
      </c>
      <c r="H85" s="2" t="s">
        <v>277</v>
      </c>
      <c r="I85" s="27">
        <f>+F79</f>
        <v>178678179.87</v>
      </c>
      <c r="J85" s="100">
        <f t="shared" si="2"/>
        <v>0.39992019391268618</v>
      </c>
      <c r="K85" s="113"/>
    </row>
    <row r="86" spans="2:11" x14ac:dyDescent="0.25">
      <c r="B86" s="112"/>
      <c r="C86" s="157"/>
      <c r="D86" s="2" t="s">
        <v>10</v>
      </c>
      <c r="E86" s="99">
        <v>1.4999999999999999E-2</v>
      </c>
      <c r="F86" s="27">
        <f>+'Básico $'!J25</f>
        <v>2377011.0671606814</v>
      </c>
      <c r="K86" s="113"/>
    </row>
    <row r="87" spans="2:11" x14ac:dyDescent="0.25">
      <c r="B87" s="112"/>
      <c r="C87" s="157"/>
      <c r="D87" s="2" t="s">
        <v>11</v>
      </c>
      <c r="E87" s="99">
        <v>1.4999999999999999E-2</v>
      </c>
      <c r="F87" s="27">
        <f>+'Básico $'!K25</f>
        <v>1200403.3780732199</v>
      </c>
      <c r="H87" s="159" t="s">
        <v>255</v>
      </c>
      <c r="I87" s="160"/>
      <c r="J87" s="161"/>
      <c r="K87" s="113"/>
    </row>
    <row r="88" spans="2:11" x14ac:dyDescent="0.25">
      <c r="B88" s="112"/>
      <c r="C88" s="150" t="s">
        <v>5</v>
      </c>
      <c r="D88" s="151"/>
      <c r="E88" s="98">
        <f>+SUM(E85:E87)</f>
        <v>0.05</v>
      </c>
      <c r="F88" s="26">
        <f>+F85+F86+F87</f>
        <v>8636156.8818366397</v>
      </c>
      <c r="K88" s="113"/>
    </row>
    <row r="89" spans="2:11" x14ac:dyDescent="0.25">
      <c r="B89" s="112"/>
      <c r="C89" s="157" t="s">
        <v>255</v>
      </c>
      <c r="D89" s="2" t="s">
        <v>9</v>
      </c>
      <c r="E89" s="96">
        <v>0.02</v>
      </c>
      <c r="F89" s="27">
        <f>+'Básico USD Plaza'!I10</f>
        <v>3865.2983999999997</v>
      </c>
      <c r="H89" s="2" t="s">
        <v>44</v>
      </c>
      <c r="I89" s="7">
        <f>+E80</f>
        <v>193264.92</v>
      </c>
      <c r="J89" s="100"/>
      <c r="K89" s="113"/>
    </row>
    <row r="90" spans="2:11" x14ac:dyDescent="0.25">
      <c r="B90" s="112"/>
      <c r="C90" s="157"/>
      <c r="D90" s="2" t="s">
        <v>10</v>
      </c>
      <c r="E90" s="99">
        <v>1.4999999999999999E-2</v>
      </c>
      <c r="F90" s="27">
        <f>+'Básico USD Plaza'!J10</f>
        <v>2898.9737999999998</v>
      </c>
      <c r="H90" s="2" t="s">
        <v>259</v>
      </c>
      <c r="I90" s="27">
        <f>+F92</f>
        <v>9479.8706165719705</v>
      </c>
      <c r="J90" s="100">
        <f>+I90/$D$80</f>
        <v>1.4872624923238591E-2</v>
      </c>
      <c r="K90" s="113"/>
    </row>
    <row r="91" spans="2:11" x14ac:dyDescent="0.25">
      <c r="B91" s="112"/>
      <c r="C91" s="157"/>
      <c r="D91" s="2" t="s">
        <v>11</v>
      </c>
      <c r="E91" s="99">
        <v>1.4999999999999999E-2</v>
      </c>
      <c r="F91" s="27">
        <f>+'Básico USD Plaza'!K10</f>
        <v>2715.5984165719719</v>
      </c>
      <c r="H91" s="2" t="s">
        <v>258</v>
      </c>
      <c r="I91" s="27">
        <f>+E101</f>
        <v>9663.2459999999992</v>
      </c>
      <c r="J91" s="100">
        <f t="shared" ref="J91:J94" si="3">+I91/$D$80</f>
        <v>1.5160315906395315E-2</v>
      </c>
      <c r="K91" s="113"/>
    </row>
    <row r="92" spans="2:11" x14ac:dyDescent="0.25">
      <c r="B92" s="112"/>
      <c r="C92" s="150" t="s">
        <v>5</v>
      </c>
      <c r="D92" s="151"/>
      <c r="E92" s="98">
        <f>+SUM(E89:E91)</f>
        <v>0.05</v>
      </c>
      <c r="F92" s="26">
        <f>+F89+F90+F91</f>
        <v>9479.8706165719705</v>
      </c>
      <c r="H92" s="2" t="s">
        <v>250</v>
      </c>
      <c r="I92" s="27">
        <f>+E111</f>
        <v>4831.6229999999996</v>
      </c>
      <c r="J92" s="100">
        <f t="shared" si="3"/>
        <v>7.5801579531976577E-3</v>
      </c>
      <c r="K92" s="113"/>
    </row>
    <row r="93" spans="2:11" x14ac:dyDescent="0.25">
      <c r="B93" s="112"/>
      <c r="C93" s="157" t="s">
        <v>256</v>
      </c>
      <c r="D93" s="2" t="s">
        <v>9</v>
      </c>
      <c r="E93" s="96">
        <v>0.02</v>
      </c>
      <c r="F93" s="27">
        <f>+'Básico USD CIF'!I9</f>
        <v>2095.7028</v>
      </c>
      <c r="H93" s="2" t="s">
        <v>306</v>
      </c>
      <c r="I93" s="27">
        <f>+I89-I90-I91-I92</f>
        <v>169290.18038342803</v>
      </c>
      <c r="J93" s="100">
        <f t="shared" si="3"/>
        <v>0.26559321934507474</v>
      </c>
      <c r="K93" s="113"/>
    </row>
    <row r="94" spans="2:11" x14ac:dyDescent="0.25">
      <c r="B94" s="112"/>
      <c r="C94" s="157"/>
      <c r="D94" s="2" t="s">
        <v>10</v>
      </c>
      <c r="E94" s="99">
        <v>1.4999999999999999E-2</v>
      </c>
      <c r="F94" s="27">
        <f>+'Básico USD CIF'!J9</f>
        <v>1571.7771</v>
      </c>
      <c r="H94" s="2" t="s">
        <v>277</v>
      </c>
      <c r="I94" s="27">
        <f>+F80</f>
        <v>444139.07999999996</v>
      </c>
      <c r="J94" s="100">
        <f t="shared" si="3"/>
        <v>0.69679368187209356</v>
      </c>
      <c r="K94" s="113"/>
    </row>
    <row r="95" spans="2:11" x14ac:dyDescent="0.25">
      <c r="B95" s="112"/>
      <c r="C95" s="157"/>
      <c r="D95" s="2" t="s">
        <v>11</v>
      </c>
      <c r="E95" s="99">
        <v>1.4999999999999999E-2</v>
      </c>
      <c r="F95" s="27">
        <f>+'Básico USD CIF'!K9</f>
        <v>1571.7771</v>
      </c>
      <c r="K95" s="113"/>
    </row>
    <row r="96" spans="2:11" x14ac:dyDescent="0.25">
      <c r="B96" s="112"/>
      <c r="C96" s="150" t="s">
        <v>5</v>
      </c>
      <c r="D96" s="151"/>
      <c r="E96" s="98">
        <f>+SUM(E93:E95)</f>
        <v>0.05</v>
      </c>
      <c r="F96" s="26">
        <f>+F93+F94+F95</f>
        <v>5239.2570000000005</v>
      </c>
      <c r="H96" s="159" t="s">
        <v>256</v>
      </c>
      <c r="I96" s="160"/>
      <c r="J96" s="161"/>
      <c r="K96" s="113"/>
    </row>
    <row r="97" spans="2:11" x14ac:dyDescent="0.25">
      <c r="B97" s="112"/>
      <c r="C97" s="116"/>
      <c r="E97" s="97"/>
      <c r="F97" s="19"/>
      <c r="K97" s="113"/>
    </row>
    <row r="98" spans="2:11" x14ac:dyDescent="0.25">
      <c r="B98" s="112"/>
      <c r="H98" s="2" t="s">
        <v>44</v>
      </c>
      <c r="I98" s="7">
        <f>+E81</f>
        <v>104785.14</v>
      </c>
      <c r="J98" s="100"/>
      <c r="K98" s="113"/>
    </row>
    <row r="99" spans="2:11" x14ac:dyDescent="0.25">
      <c r="B99" s="112"/>
      <c r="C99" s="152" t="s">
        <v>258</v>
      </c>
      <c r="D99" s="153"/>
      <c r="E99" s="154"/>
      <c r="H99" s="2" t="s">
        <v>259</v>
      </c>
      <c r="I99" s="27">
        <f>+F96</f>
        <v>5239.2570000000005</v>
      </c>
      <c r="J99" s="100">
        <f>+I99/$D$81</f>
        <v>1.1609178312574924E-2</v>
      </c>
      <c r="K99" s="113"/>
    </row>
    <row r="100" spans="2:11" x14ac:dyDescent="0.25">
      <c r="B100" s="112"/>
      <c r="C100" s="2" t="s">
        <v>254</v>
      </c>
      <c r="D100" s="155">
        <v>0.05</v>
      </c>
      <c r="E100" s="27">
        <f>+'Básico $'!Y8</f>
        <v>13405320.506500002</v>
      </c>
      <c r="F100" s="95"/>
      <c r="H100" s="2" t="s">
        <v>258</v>
      </c>
      <c r="I100" s="27">
        <f>+E102</f>
        <v>5239.2570000000005</v>
      </c>
      <c r="J100" s="100">
        <f t="shared" ref="J100:J103" si="4">+I100/$D$81</f>
        <v>1.1609178312574924E-2</v>
      </c>
      <c r="K100" s="113"/>
    </row>
    <row r="101" spans="2:11" x14ac:dyDescent="0.25">
      <c r="B101" s="112"/>
      <c r="C101" s="2" t="s">
        <v>255</v>
      </c>
      <c r="D101" s="155"/>
      <c r="E101" s="27">
        <f>+'Básico USD Plaza'!W8</f>
        <v>9663.2459999999992</v>
      </c>
      <c r="F101" s="95"/>
      <c r="H101" s="2" t="s">
        <v>250</v>
      </c>
      <c r="I101" s="27">
        <f>+E112</f>
        <v>2619.6285000000003</v>
      </c>
      <c r="J101" s="100">
        <f t="shared" si="4"/>
        <v>5.8045891562874619E-3</v>
      </c>
      <c r="K101" s="113"/>
    </row>
    <row r="102" spans="2:11" x14ac:dyDescent="0.25">
      <c r="B102" s="112"/>
      <c r="C102" s="2" t="s">
        <v>256</v>
      </c>
      <c r="D102" s="155"/>
      <c r="E102" s="7">
        <f>+'Básico USD CIF'!W6</f>
        <v>5239.2570000000005</v>
      </c>
      <c r="F102" s="95"/>
      <c r="H102" s="2" t="s">
        <v>306</v>
      </c>
      <c r="I102" s="27">
        <f>+I98-I99-I100-I101</f>
        <v>91686.997499999998</v>
      </c>
      <c r="J102" s="100">
        <f t="shared" si="4"/>
        <v>0.20316062047006112</v>
      </c>
      <c r="K102" s="113"/>
    </row>
    <row r="103" spans="2:11" x14ac:dyDescent="0.25">
      <c r="B103" s="112"/>
      <c r="C103" s="2" t="s">
        <v>272</v>
      </c>
      <c r="D103" s="155"/>
      <c r="E103" s="7">
        <f>+AP!Z6</f>
        <v>702053.87300000014</v>
      </c>
      <c r="F103" s="95"/>
      <c r="H103" s="2" t="s">
        <v>277</v>
      </c>
      <c r="I103" s="27">
        <f>+F81</f>
        <v>346517.86</v>
      </c>
      <c r="J103" s="100">
        <f t="shared" si="4"/>
        <v>0.7678164337485015</v>
      </c>
      <c r="K103" s="113"/>
    </row>
    <row r="104" spans="2:11" x14ac:dyDescent="0.25">
      <c r="B104" s="112"/>
      <c r="C104" s="2" t="s">
        <v>273</v>
      </c>
      <c r="D104" s="155"/>
      <c r="E104" s="7">
        <f>+'AP Adicionales'!V7</f>
        <v>1567.7080000000001</v>
      </c>
      <c r="K104" s="113"/>
    </row>
    <row r="105" spans="2:11" x14ac:dyDescent="0.25">
      <c r="B105" s="112"/>
      <c r="C105" s="2" t="s">
        <v>274</v>
      </c>
      <c r="D105" s="155"/>
      <c r="E105" s="7">
        <f>+'AyD $'!V6</f>
        <v>22772.803001667893</v>
      </c>
      <c r="K105" s="113"/>
    </row>
    <row r="106" spans="2:11" x14ac:dyDescent="0.25">
      <c r="B106" s="112"/>
      <c r="C106" s="2" t="s">
        <v>275</v>
      </c>
      <c r="D106" s="155"/>
      <c r="E106" s="7">
        <f>+'AYD USD Plaza '!V7</f>
        <v>5200.5317757272096</v>
      </c>
      <c r="K106" s="113"/>
    </row>
    <row r="107" spans="2:11" x14ac:dyDescent="0.25">
      <c r="B107" s="112"/>
      <c r="C107" s="2" t="s">
        <v>276</v>
      </c>
      <c r="D107" s="155"/>
      <c r="E107" s="7">
        <f>+'Básico USD CIF'!W6</f>
        <v>5239.2570000000005</v>
      </c>
      <c r="K107" s="113"/>
    </row>
    <row r="108" spans="2:11" x14ac:dyDescent="0.25">
      <c r="B108" s="112"/>
      <c r="K108" s="113"/>
    </row>
    <row r="109" spans="2:11" x14ac:dyDescent="0.25">
      <c r="B109" s="112"/>
      <c r="C109" s="152" t="s">
        <v>250</v>
      </c>
      <c r="D109" s="153"/>
      <c r="E109" s="154"/>
      <c r="K109" s="113"/>
    </row>
    <row r="110" spans="2:11" x14ac:dyDescent="0.25">
      <c r="B110" s="112"/>
      <c r="C110" s="2" t="s">
        <v>254</v>
      </c>
      <c r="D110" s="156">
        <v>2.5000000000000001E-2</v>
      </c>
      <c r="E110" s="27">
        <f>+'Básico $'!Y9</f>
        <v>6702660.253250001</v>
      </c>
      <c r="K110" s="113"/>
    </row>
    <row r="111" spans="2:11" x14ac:dyDescent="0.25">
      <c r="B111" s="112"/>
      <c r="C111" s="2" t="s">
        <v>255</v>
      </c>
      <c r="D111" s="156"/>
      <c r="E111" s="27">
        <f>+'Básico USD Plaza'!W9</f>
        <v>4831.6229999999996</v>
      </c>
      <c r="K111" s="113"/>
    </row>
    <row r="112" spans="2:11" x14ac:dyDescent="0.25">
      <c r="B112" s="112"/>
      <c r="C112" s="2" t="s">
        <v>256</v>
      </c>
      <c r="D112" s="156"/>
      <c r="E112" s="27">
        <f>+'Básico USD CIF'!W7</f>
        <v>2619.6285000000003</v>
      </c>
      <c r="K112" s="113"/>
    </row>
    <row r="113" spans="2:11" x14ac:dyDescent="0.25">
      <c r="B113" s="112"/>
      <c r="C113" s="2" t="s">
        <v>272</v>
      </c>
      <c r="D113" s="156"/>
      <c r="E113" s="27">
        <f>+AP!Z7</f>
        <v>351026.93650000007</v>
      </c>
      <c r="K113" s="113"/>
    </row>
    <row r="114" spans="2:11" ht="15.75" thickBot="1" x14ac:dyDescent="0.3">
      <c r="B114" s="117"/>
      <c r="C114" s="114"/>
      <c r="D114" s="118"/>
      <c r="E114" s="119"/>
      <c r="F114" s="114"/>
      <c r="G114" s="114"/>
      <c r="H114" s="114"/>
      <c r="I114" s="114"/>
      <c r="J114" s="114"/>
      <c r="K114" s="115"/>
    </row>
    <row r="116" spans="2:11" ht="15.75" thickBot="1" x14ac:dyDescent="0.3"/>
    <row r="117" spans="2:11" x14ac:dyDescent="0.25">
      <c r="B117" s="109" t="s">
        <v>279</v>
      </c>
      <c r="C117" s="110"/>
      <c r="D117" s="110"/>
      <c r="E117" s="110"/>
      <c r="F117" s="110"/>
      <c r="G117" s="110"/>
      <c r="H117" s="110"/>
      <c r="I117" s="110"/>
      <c r="J117" s="110"/>
      <c r="K117" s="111"/>
    </row>
    <row r="118" spans="2:11" x14ac:dyDescent="0.25">
      <c r="B118" s="112"/>
      <c r="K118" s="113"/>
    </row>
    <row r="119" spans="2:11" x14ac:dyDescent="0.25">
      <c r="B119" s="112"/>
      <c r="C119" s="158" t="s">
        <v>281</v>
      </c>
      <c r="D119" s="158"/>
      <c r="E119" s="158"/>
      <c r="F119" s="158"/>
      <c r="G119" s="158"/>
      <c r="H119" s="158"/>
      <c r="K119" s="113"/>
    </row>
    <row r="120" spans="2:11" x14ac:dyDescent="0.25">
      <c r="B120" s="112"/>
      <c r="C120" s="158" t="s">
        <v>253</v>
      </c>
      <c r="D120" s="158"/>
      <c r="E120" s="3" t="s">
        <v>44</v>
      </c>
      <c r="F120" s="3" t="s">
        <v>277</v>
      </c>
      <c r="G120" s="3" t="s">
        <v>44</v>
      </c>
      <c r="H120" s="3" t="s">
        <v>277</v>
      </c>
      <c r="K120" s="113"/>
    </row>
    <row r="121" spans="2:11" x14ac:dyDescent="0.25">
      <c r="B121" s="112"/>
      <c r="C121" s="2" t="s">
        <v>254</v>
      </c>
      <c r="D121" s="27">
        <f>+D79/$P$1</f>
        <v>11311002.278481012</v>
      </c>
      <c r="E121" s="27">
        <f>+E79/$P$1</f>
        <v>6787504.0539240502</v>
      </c>
      <c r="F121" s="27">
        <f>+D121-E121</f>
        <v>4523498.224556962</v>
      </c>
      <c r="G121" s="100">
        <f>+E121/D121</f>
        <v>0.60007980608731382</v>
      </c>
      <c r="H121" s="100">
        <f>+F121/D121</f>
        <v>0.39992019391268624</v>
      </c>
      <c r="K121" s="113"/>
    </row>
    <row r="122" spans="2:11" x14ac:dyDescent="0.25">
      <c r="B122" s="112"/>
      <c r="C122" s="2" t="s">
        <v>255</v>
      </c>
      <c r="D122" s="27">
        <f>+D80</f>
        <v>637404</v>
      </c>
      <c r="E122" s="27">
        <f t="shared" ref="E122:E123" si="5">+E80</f>
        <v>193264.92</v>
      </c>
      <c r="F122" s="27">
        <f t="shared" ref="F122:F123" si="6">+D122-E122</f>
        <v>444139.07999999996</v>
      </c>
      <c r="G122" s="100">
        <f t="shared" ref="G122" si="7">+E122/D122</f>
        <v>0.30320631812790633</v>
      </c>
      <c r="H122" s="100">
        <f t="shared" ref="H122:H123" si="8">+F122/D122</f>
        <v>0.69679368187209356</v>
      </c>
      <c r="K122" s="113"/>
    </row>
    <row r="123" spans="2:11" x14ac:dyDescent="0.25">
      <c r="B123" s="112"/>
      <c r="C123" s="2" t="s">
        <v>256</v>
      </c>
      <c r="D123" s="27">
        <f>+D81</f>
        <v>451303</v>
      </c>
      <c r="E123" s="27">
        <f t="shared" si="5"/>
        <v>104785.14</v>
      </c>
      <c r="F123" s="27">
        <f t="shared" si="6"/>
        <v>346517.86</v>
      </c>
      <c r="G123" s="100">
        <f>+E123/D123</f>
        <v>0.23218356625149844</v>
      </c>
      <c r="H123" s="100">
        <f t="shared" si="8"/>
        <v>0.7678164337485015</v>
      </c>
      <c r="K123" s="113"/>
    </row>
    <row r="124" spans="2:11" x14ac:dyDescent="0.25">
      <c r="B124" s="112"/>
      <c r="D124" s="22">
        <f>+SUM(D121:D123)</f>
        <v>12399709.278481012</v>
      </c>
      <c r="E124" s="22">
        <f>+SUM(E121:E123)</f>
        <v>7085554.1139240498</v>
      </c>
      <c r="F124" s="22">
        <f>+SUM(F121:F123)</f>
        <v>5314155.1645569624</v>
      </c>
      <c r="G124" s="123">
        <f t="shared" ref="G124" si="9">+E124/D124</f>
        <v>0.57142905166499547</v>
      </c>
      <c r="H124" s="123">
        <f t="shared" ref="H124" si="10">+F124/D124</f>
        <v>0.42857094833500453</v>
      </c>
      <c r="K124" s="113"/>
    </row>
    <row r="125" spans="2:11" x14ac:dyDescent="0.25">
      <c r="B125" s="112"/>
      <c r="K125" s="113"/>
    </row>
    <row r="126" spans="2:11" x14ac:dyDescent="0.25">
      <c r="B126" s="112"/>
      <c r="C126" s="158" t="s">
        <v>280</v>
      </c>
      <c r="D126" s="158"/>
      <c r="E126" s="158"/>
      <c r="F126" s="158"/>
      <c r="K126" s="113"/>
    </row>
    <row r="127" spans="2:11" x14ac:dyDescent="0.25">
      <c r="B127" s="112"/>
      <c r="C127" s="157" t="s">
        <v>254</v>
      </c>
      <c r="D127" s="2" t="s">
        <v>9</v>
      </c>
      <c r="E127" s="96">
        <v>0.02</v>
      </c>
      <c r="F127" s="27">
        <f>+F85/$P$1</f>
        <v>128069.4287747529</v>
      </c>
      <c r="K127" s="113"/>
    </row>
    <row r="128" spans="2:11" x14ac:dyDescent="0.25">
      <c r="B128" s="112"/>
      <c r="C128" s="157"/>
      <c r="D128" s="2" t="s">
        <v>10</v>
      </c>
      <c r="E128" s="99">
        <v>1.4999999999999999E-2</v>
      </c>
      <c r="F128" s="27">
        <f t="shared" ref="F128:F129" si="11">+F86/$P$1</f>
        <v>60177.495371156489</v>
      </c>
      <c r="K128" s="113"/>
    </row>
    <row r="129" spans="2:11" x14ac:dyDescent="0.25">
      <c r="B129" s="112"/>
      <c r="C129" s="157"/>
      <c r="D129" s="2" t="s">
        <v>11</v>
      </c>
      <c r="E129" s="99">
        <v>1.4999999999999999E-2</v>
      </c>
      <c r="F129" s="27">
        <f t="shared" si="11"/>
        <v>30389.95893856253</v>
      </c>
      <c r="K129" s="113"/>
    </row>
    <row r="130" spans="2:11" x14ac:dyDescent="0.25">
      <c r="B130" s="112"/>
      <c r="C130" s="150" t="s">
        <v>5</v>
      </c>
      <c r="D130" s="151"/>
      <c r="E130" s="98">
        <f>+SUM(E127:E129)</f>
        <v>0.05</v>
      </c>
      <c r="F130" s="26">
        <f>+F127+F128+F129</f>
        <v>218636.88308447192</v>
      </c>
      <c r="K130" s="113"/>
    </row>
    <row r="131" spans="2:11" x14ac:dyDescent="0.25">
      <c r="B131" s="112"/>
      <c r="C131" s="157" t="s">
        <v>255</v>
      </c>
      <c r="D131" s="2" t="s">
        <v>9</v>
      </c>
      <c r="E131" s="96">
        <v>0.02</v>
      </c>
      <c r="F131" s="27">
        <f>+F89</f>
        <v>3865.2983999999997</v>
      </c>
      <c r="K131" s="113"/>
    </row>
    <row r="132" spans="2:11" x14ac:dyDescent="0.25">
      <c r="B132" s="112"/>
      <c r="C132" s="157"/>
      <c r="D132" s="2" t="s">
        <v>10</v>
      </c>
      <c r="E132" s="99">
        <v>1.4999999999999999E-2</v>
      </c>
      <c r="F132" s="27">
        <f t="shared" ref="F132:F133" si="12">+F90</f>
        <v>2898.9737999999998</v>
      </c>
      <c r="K132" s="113"/>
    </row>
    <row r="133" spans="2:11" x14ac:dyDescent="0.25">
      <c r="B133" s="112"/>
      <c r="C133" s="157"/>
      <c r="D133" s="2" t="s">
        <v>11</v>
      </c>
      <c r="E133" s="99">
        <v>1.4999999999999999E-2</v>
      </c>
      <c r="F133" s="27">
        <f t="shared" si="12"/>
        <v>2715.5984165719719</v>
      </c>
      <c r="K133" s="113"/>
    </row>
    <row r="134" spans="2:11" x14ac:dyDescent="0.25">
      <c r="B134" s="112"/>
      <c r="C134" s="150" t="s">
        <v>5</v>
      </c>
      <c r="D134" s="151"/>
      <c r="E134" s="98">
        <f>+SUM(E131:E133)</f>
        <v>0.05</v>
      </c>
      <c r="F134" s="26">
        <f>+F131+F132+F133</f>
        <v>9479.8706165719705</v>
      </c>
      <c r="K134" s="113"/>
    </row>
    <row r="135" spans="2:11" x14ac:dyDescent="0.25">
      <c r="B135" s="112"/>
      <c r="C135" s="157" t="s">
        <v>256</v>
      </c>
      <c r="D135" s="2" t="s">
        <v>9</v>
      </c>
      <c r="E135" s="96">
        <v>0.02</v>
      </c>
      <c r="F135" s="27">
        <f>+F93</f>
        <v>2095.7028</v>
      </c>
      <c r="K135" s="113"/>
    </row>
    <row r="136" spans="2:11" x14ac:dyDescent="0.25">
      <c r="B136" s="112"/>
      <c r="C136" s="157"/>
      <c r="D136" s="2" t="s">
        <v>10</v>
      </c>
      <c r="E136" s="99">
        <v>1.4999999999999999E-2</v>
      </c>
      <c r="F136" s="27">
        <f t="shared" ref="F136:F137" si="13">+F94</f>
        <v>1571.7771</v>
      </c>
      <c r="K136" s="113"/>
    </row>
    <row r="137" spans="2:11" x14ac:dyDescent="0.25">
      <c r="B137" s="112"/>
      <c r="C137" s="157"/>
      <c r="D137" s="2" t="s">
        <v>11</v>
      </c>
      <c r="E137" s="99">
        <v>1.4999999999999999E-2</v>
      </c>
      <c r="F137" s="27">
        <f t="shared" si="13"/>
        <v>1571.7771</v>
      </c>
      <c r="K137" s="113"/>
    </row>
    <row r="138" spans="2:11" x14ac:dyDescent="0.25">
      <c r="B138" s="112"/>
      <c r="C138" s="150" t="s">
        <v>5</v>
      </c>
      <c r="D138" s="151"/>
      <c r="E138" s="98">
        <f>+SUM(E135:E137)</f>
        <v>0.05</v>
      </c>
      <c r="F138" s="26">
        <f>+F135+F136+F137</f>
        <v>5239.2570000000005</v>
      </c>
      <c r="K138" s="113"/>
    </row>
    <row r="139" spans="2:11" x14ac:dyDescent="0.25">
      <c r="B139" s="112"/>
      <c r="C139" s="116"/>
      <c r="E139" s="97"/>
      <c r="F139" s="22">
        <f>+F138+F134+F130</f>
        <v>233356.01070104388</v>
      </c>
      <c r="K139" s="113"/>
    </row>
    <row r="140" spans="2:11" x14ac:dyDescent="0.25">
      <c r="B140" s="112"/>
      <c r="H140" s="158" t="s">
        <v>307</v>
      </c>
      <c r="I140" s="158"/>
      <c r="J140" s="158"/>
      <c r="K140" s="113"/>
    </row>
    <row r="141" spans="2:11" x14ac:dyDescent="0.25">
      <c r="B141" s="112"/>
      <c r="C141" s="152" t="s">
        <v>247</v>
      </c>
      <c r="D141" s="153"/>
      <c r="E141" s="154"/>
      <c r="H141" s="2" t="s">
        <v>44</v>
      </c>
      <c r="I141" s="7">
        <f>+E124</f>
        <v>7085554.1139240498</v>
      </c>
      <c r="J141" s="2"/>
      <c r="K141" s="113"/>
    </row>
    <row r="142" spans="2:11" x14ac:dyDescent="0.25">
      <c r="B142" s="112"/>
      <c r="C142" s="2" t="s">
        <v>254</v>
      </c>
      <c r="D142" s="155">
        <v>0.05</v>
      </c>
      <c r="E142" s="27">
        <f>+E100/P1</f>
        <v>339375.20269620256</v>
      </c>
      <c r="H142" s="2" t="s">
        <v>259</v>
      </c>
      <c r="I142" s="7">
        <f>+F139</f>
        <v>233356.01070104388</v>
      </c>
      <c r="J142" s="100">
        <f>+I142/$D$124</f>
        <v>1.8819474348968804E-2</v>
      </c>
      <c r="K142" s="113"/>
    </row>
    <row r="143" spans="2:11" x14ac:dyDescent="0.25">
      <c r="B143" s="112"/>
      <c r="C143" s="2" t="s">
        <v>255</v>
      </c>
      <c r="D143" s="155"/>
      <c r="E143" s="27">
        <f>+E101</f>
        <v>9663.2459999999992</v>
      </c>
      <c r="H143" s="2" t="s">
        <v>258</v>
      </c>
      <c r="I143" s="7">
        <f>+E150</f>
        <v>383107.22571247828</v>
      </c>
      <c r="J143" s="100">
        <f t="shared" ref="J143:J147" si="14">+I143/$D$124</f>
        <v>3.0896468385540218E-2</v>
      </c>
      <c r="K143" s="113"/>
    </row>
    <row r="144" spans="2:11" x14ac:dyDescent="0.25">
      <c r="B144" s="112"/>
      <c r="C144" s="2" t="s">
        <v>256</v>
      </c>
      <c r="D144" s="155"/>
      <c r="E144" s="27">
        <f>+E102</f>
        <v>5239.2570000000005</v>
      </c>
      <c r="H144" s="2" t="s">
        <v>250</v>
      </c>
      <c r="I144" s="7">
        <f>+E157</f>
        <v>186025.6107341772</v>
      </c>
      <c r="J144" s="100">
        <f t="shared" si="14"/>
        <v>1.5002417117715335E-2</v>
      </c>
      <c r="K144" s="113"/>
    </row>
    <row r="145" spans="2:11" x14ac:dyDescent="0.25">
      <c r="B145" s="112"/>
      <c r="C145" s="2" t="s">
        <v>272</v>
      </c>
      <c r="D145" s="155"/>
      <c r="E145" s="27">
        <f>+E103/$P$1</f>
        <v>17773.515772151903</v>
      </c>
      <c r="H145" s="2" t="s">
        <v>248</v>
      </c>
      <c r="I145" s="7">
        <f>+I83/P1</f>
        <v>5571.6962025316452</v>
      </c>
      <c r="J145" s="100">
        <f t="shared" si="14"/>
        <v>4.4934087383814762E-4</v>
      </c>
      <c r="K145" s="113"/>
    </row>
    <row r="146" spans="2:11" x14ac:dyDescent="0.25">
      <c r="B146" s="112"/>
      <c r="C146" s="2" t="s">
        <v>273</v>
      </c>
      <c r="D146" s="155"/>
      <c r="E146" s="27">
        <f t="shared" ref="E146:E147" si="15">+E104/$P$1</f>
        <v>39.688810126582283</v>
      </c>
      <c r="H146" s="2" t="s">
        <v>306</v>
      </c>
      <c r="I146" s="7">
        <f>+I141-I142-I143-I144-I145</f>
        <v>6277493.5705738198</v>
      </c>
      <c r="J146" s="100">
        <f t="shared" si="14"/>
        <v>0.50626135093893299</v>
      </c>
      <c r="K146" s="113"/>
    </row>
    <row r="147" spans="2:11" x14ac:dyDescent="0.25">
      <c r="B147" s="112"/>
      <c r="C147" s="2" t="s">
        <v>274</v>
      </c>
      <c r="D147" s="155"/>
      <c r="E147" s="7">
        <f t="shared" si="15"/>
        <v>576.5266582700732</v>
      </c>
      <c r="H147" s="2" t="s">
        <v>277</v>
      </c>
      <c r="I147" s="7">
        <f>+F124</f>
        <v>5314155.1645569624</v>
      </c>
      <c r="J147" s="100">
        <f t="shared" si="14"/>
        <v>0.42857094833500453</v>
      </c>
      <c r="K147" s="113"/>
    </row>
    <row r="148" spans="2:11" x14ac:dyDescent="0.25">
      <c r="B148" s="112"/>
      <c r="C148" s="2" t="s">
        <v>275</v>
      </c>
      <c r="D148" s="155"/>
      <c r="E148" s="7">
        <f>+E106</f>
        <v>5200.5317757272096</v>
      </c>
      <c r="K148" s="113"/>
    </row>
    <row r="149" spans="2:11" x14ac:dyDescent="0.25">
      <c r="B149" s="112"/>
      <c r="C149" s="2" t="s">
        <v>276</v>
      </c>
      <c r="D149" s="155"/>
      <c r="E149" s="7">
        <f>+E107</f>
        <v>5239.2570000000005</v>
      </c>
      <c r="K149" s="113"/>
    </row>
    <row r="150" spans="2:11" x14ac:dyDescent="0.25">
      <c r="B150" s="112"/>
      <c r="D150" s="120"/>
      <c r="E150" s="122">
        <f>+SUM(E142:E149)</f>
        <v>383107.22571247828</v>
      </c>
      <c r="K150" s="113"/>
    </row>
    <row r="151" spans="2:11" x14ac:dyDescent="0.25">
      <c r="B151" s="112"/>
      <c r="K151" s="113"/>
    </row>
    <row r="152" spans="2:11" x14ac:dyDescent="0.25">
      <c r="B152" s="112"/>
      <c r="C152" s="152" t="s">
        <v>282</v>
      </c>
      <c r="D152" s="153"/>
      <c r="E152" s="154"/>
      <c r="K152" s="113"/>
    </row>
    <row r="153" spans="2:11" x14ac:dyDescent="0.25">
      <c r="B153" s="112"/>
      <c r="C153" s="2" t="s">
        <v>254</v>
      </c>
      <c r="D153" s="156">
        <v>2.5000000000000001E-2</v>
      </c>
      <c r="E153" s="27">
        <f>+E110/P1</f>
        <v>169687.60134810128</v>
      </c>
      <c r="K153" s="113"/>
    </row>
    <row r="154" spans="2:11" x14ac:dyDescent="0.25">
      <c r="B154" s="112"/>
      <c r="C154" s="2" t="s">
        <v>255</v>
      </c>
      <c r="D154" s="156"/>
      <c r="E154" s="27">
        <f>+E111</f>
        <v>4831.6229999999996</v>
      </c>
      <c r="K154" s="113"/>
    </row>
    <row r="155" spans="2:11" x14ac:dyDescent="0.25">
      <c r="B155" s="112"/>
      <c r="C155" s="2" t="s">
        <v>256</v>
      </c>
      <c r="D155" s="156"/>
      <c r="E155" s="27">
        <f>+E112</f>
        <v>2619.6285000000003</v>
      </c>
      <c r="K155" s="113"/>
    </row>
    <row r="156" spans="2:11" x14ac:dyDescent="0.25">
      <c r="B156" s="112"/>
      <c r="C156" s="2" t="s">
        <v>272</v>
      </c>
      <c r="D156" s="156"/>
      <c r="E156" s="27">
        <f>+E113/P1</f>
        <v>8886.7578860759513</v>
      </c>
      <c r="K156" s="113"/>
    </row>
    <row r="157" spans="2:11" x14ac:dyDescent="0.25">
      <c r="B157" s="112"/>
      <c r="D157" s="121"/>
      <c r="E157" s="22">
        <f>+SUM(E153:E156)</f>
        <v>186025.6107341772</v>
      </c>
      <c r="K157" s="113"/>
    </row>
    <row r="158" spans="2:11" ht="15.75" thickBot="1" x14ac:dyDescent="0.3">
      <c r="B158" s="117"/>
      <c r="C158" s="114"/>
      <c r="D158" s="118"/>
      <c r="E158" s="119"/>
      <c r="F158" s="114"/>
      <c r="G158" s="114"/>
      <c r="H158" s="114"/>
      <c r="I158" s="114"/>
      <c r="J158" s="114"/>
      <c r="K158" s="115"/>
    </row>
    <row r="164" spans="3:4" x14ac:dyDescent="0.25">
      <c r="C164" s="163" t="s">
        <v>287</v>
      </c>
      <c r="D164" s="163"/>
    </row>
    <row r="165" spans="3:4" x14ac:dyDescent="0.25">
      <c r="C165" s="13" t="s">
        <v>283</v>
      </c>
      <c r="D165" s="8">
        <v>244000</v>
      </c>
    </row>
    <row r="166" spans="3:4" x14ac:dyDescent="0.25">
      <c r="C166" s="13" t="s">
        <v>284</v>
      </c>
      <c r="D166" s="8">
        <v>403000</v>
      </c>
    </row>
    <row r="167" spans="3:4" x14ac:dyDescent="0.25">
      <c r="C167" s="13" t="s">
        <v>288</v>
      </c>
      <c r="D167" s="8">
        <v>407000</v>
      </c>
    </row>
    <row r="168" spans="3:4" x14ac:dyDescent="0.25">
      <c r="C168" s="13" t="s">
        <v>289</v>
      </c>
      <c r="D168" s="8">
        <v>248000</v>
      </c>
    </row>
    <row r="169" spans="3:4" x14ac:dyDescent="0.25">
      <c r="D169" s="22">
        <f>+SUM(D165:D168)</f>
        <v>1302000</v>
      </c>
    </row>
    <row r="171" spans="3:4" x14ac:dyDescent="0.25">
      <c r="C171" s="1" t="s">
        <v>290</v>
      </c>
    </row>
  </sheetData>
  <mergeCells count="61">
    <mergeCell ref="C54:D54"/>
    <mergeCell ref="H54:J54"/>
    <mergeCell ref="C55:C57"/>
    <mergeCell ref="C58:D58"/>
    <mergeCell ref="C61:E61"/>
    <mergeCell ref="C46:F46"/>
    <mergeCell ref="C47:C49"/>
    <mergeCell ref="H47:J47"/>
    <mergeCell ref="C50:D50"/>
    <mergeCell ref="C51:C53"/>
    <mergeCell ref="C96:D96"/>
    <mergeCell ref="C99:E99"/>
    <mergeCell ref="D100:D107"/>
    <mergeCell ref="C164:D164"/>
    <mergeCell ref="H96:J96"/>
    <mergeCell ref="H140:J140"/>
    <mergeCell ref="D110:D113"/>
    <mergeCell ref="C119:H119"/>
    <mergeCell ref="C109:E109"/>
    <mergeCell ref="C130:D130"/>
    <mergeCell ref="C131:C133"/>
    <mergeCell ref="C134:D134"/>
    <mergeCell ref="C135:C137"/>
    <mergeCell ref="C120:D120"/>
    <mergeCell ref="C126:F126"/>
    <mergeCell ref="C127:C129"/>
    <mergeCell ref="H4:J4"/>
    <mergeCell ref="H11:J11"/>
    <mergeCell ref="H18:J18"/>
    <mergeCell ref="C89:C91"/>
    <mergeCell ref="C92:D92"/>
    <mergeCell ref="C4:D4"/>
    <mergeCell ref="C11:C13"/>
    <mergeCell ref="C15:C17"/>
    <mergeCell ref="C19:C21"/>
    <mergeCell ref="C10:F10"/>
    <mergeCell ref="D62:D64"/>
    <mergeCell ref="C67:E67"/>
    <mergeCell ref="D68:D70"/>
    <mergeCell ref="C88:D88"/>
    <mergeCell ref="C40:D40"/>
    <mergeCell ref="H40:J40"/>
    <mergeCell ref="D32:D34"/>
    <mergeCell ref="C31:E31"/>
    <mergeCell ref="C14:D14"/>
    <mergeCell ref="C18:D18"/>
    <mergeCell ref="C22:D22"/>
    <mergeCell ref="D26:D28"/>
    <mergeCell ref="C25:E25"/>
    <mergeCell ref="C93:C95"/>
    <mergeCell ref="C77:F77"/>
    <mergeCell ref="C78:D78"/>
    <mergeCell ref="H87:J87"/>
    <mergeCell ref="H77:J77"/>
    <mergeCell ref="C84:F84"/>
    <mergeCell ref="C85:C87"/>
    <mergeCell ref="C138:D138"/>
    <mergeCell ref="C141:E141"/>
    <mergeCell ref="D142:D149"/>
    <mergeCell ref="C152:E152"/>
    <mergeCell ref="D153:D156"/>
  </mergeCells>
  <pageMargins left="0.7" right="0.7" top="0.75" bottom="0.75" header="0.3" footer="0.3"/>
  <ignoredErrors>
    <ignoredError sqref="F134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B416-95E3-42E0-A1BE-946DB26A45AF}">
  <sheetPr codeName="Hoja2"/>
  <dimension ref="B1:AK93"/>
  <sheetViews>
    <sheetView showGridLines="0" zoomScale="80" zoomScaleNormal="80" workbookViewId="0">
      <selection activeCell="I26" sqref="I26"/>
    </sheetView>
  </sheetViews>
  <sheetFormatPr baseColWidth="10" defaultRowHeight="15" x14ac:dyDescent="0.25"/>
  <cols>
    <col min="1" max="1" width="21.42578125" bestFit="1" customWidth="1"/>
    <col min="2" max="2" width="21.42578125" customWidth="1"/>
    <col min="3" max="3" width="36.42578125" customWidth="1"/>
    <col min="4" max="4" width="20.140625" customWidth="1"/>
    <col min="5" max="5" width="14.5703125" customWidth="1"/>
    <col min="6" max="6" width="5.28515625" bestFit="1" customWidth="1"/>
    <col min="7" max="7" width="13.7109375" customWidth="1"/>
    <col min="8" max="8" width="22.140625" customWidth="1"/>
    <col min="9" max="9" width="15.85546875" customWidth="1"/>
    <col min="10" max="10" width="18.7109375" bestFit="1" customWidth="1"/>
    <col min="11" max="11" width="8.140625" bestFit="1" customWidth="1"/>
    <col min="12" max="12" width="19.85546875" customWidth="1"/>
    <col min="13" max="13" width="17.85546875" customWidth="1"/>
    <col min="14" max="14" width="19" bestFit="1" customWidth="1"/>
    <col min="15" max="15" width="16.7109375" hidden="1" customWidth="1"/>
    <col min="16" max="16" width="17.85546875" hidden="1" customWidth="1"/>
    <col min="17" max="17" width="16.5703125" hidden="1" customWidth="1"/>
    <col min="18" max="18" width="17" bestFit="1" customWidth="1"/>
    <col min="19" max="19" width="15.28515625" hidden="1" customWidth="1"/>
    <col min="20" max="20" width="13.42578125" hidden="1" customWidth="1"/>
    <col min="21" max="21" width="13.140625" hidden="1" customWidth="1"/>
    <col min="22" max="22" width="17.85546875" bestFit="1" customWidth="1"/>
    <col min="23" max="23" width="12.85546875" bestFit="1" customWidth="1"/>
    <col min="24" max="24" width="17.85546875" bestFit="1" customWidth="1"/>
    <col min="25" max="25" width="12.85546875" bestFit="1" customWidth="1"/>
  </cols>
  <sheetData>
    <row r="1" spans="2:37" x14ac:dyDescent="0.25">
      <c r="AJ1" s="33" t="s">
        <v>202</v>
      </c>
      <c r="AK1" s="76">
        <v>38.792000000000002</v>
      </c>
    </row>
    <row r="2" spans="2:37" x14ac:dyDescent="0.25">
      <c r="B2" t="s">
        <v>334</v>
      </c>
      <c r="AK2" s="137"/>
    </row>
    <row r="3" spans="2:37" x14ac:dyDescent="0.25">
      <c r="AK3" s="137"/>
    </row>
    <row r="4" spans="2:37" x14ac:dyDescent="0.25">
      <c r="B4" s="88" t="s">
        <v>243</v>
      </c>
      <c r="M4" s="88" t="s">
        <v>241</v>
      </c>
    </row>
    <row r="5" spans="2:37" x14ac:dyDescent="0.25">
      <c r="M5" s="88"/>
    </row>
    <row r="6" spans="2:37" s="34" customFormat="1" x14ac:dyDescent="0.25">
      <c r="B6" s="177" t="s">
        <v>64</v>
      </c>
      <c r="C6" s="177"/>
      <c r="D6" s="46" t="s">
        <v>63</v>
      </c>
      <c r="E6" s="46" t="s">
        <v>71</v>
      </c>
      <c r="F6" s="69">
        <v>0.02</v>
      </c>
      <c r="G6" s="47" t="s">
        <v>15</v>
      </c>
      <c r="H6" s="36" t="s">
        <v>167</v>
      </c>
      <c r="I6" s="47" t="s">
        <v>69</v>
      </c>
      <c r="J6" s="47" t="s">
        <v>72</v>
      </c>
      <c r="K6" s="48" t="s">
        <v>32</v>
      </c>
      <c r="M6"/>
      <c r="N6" s="46" t="s">
        <v>63</v>
      </c>
      <c r="O6" s="46" t="s">
        <v>9</v>
      </c>
      <c r="P6" s="46" t="s">
        <v>10</v>
      </c>
      <c r="Q6" s="46" t="s">
        <v>11</v>
      </c>
      <c r="R6" s="35" t="s">
        <v>196</v>
      </c>
      <c r="S6" s="46" t="s">
        <v>197</v>
      </c>
      <c r="T6" s="46" t="s">
        <v>198</v>
      </c>
      <c r="U6" s="46" t="s">
        <v>199</v>
      </c>
      <c r="V6" s="46" t="s">
        <v>200</v>
      </c>
      <c r="W6" s="35" t="s">
        <v>201</v>
      </c>
      <c r="X6" s="46" t="s">
        <v>200</v>
      </c>
      <c r="Y6" s="87" t="s">
        <v>201</v>
      </c>
      <c r="Z6"/>
      <c r="AA6"/>
      <c r="AB6"/>
      <c r="AC6"/>
      <c r="AD6"/>
      <c r="AG6"/>
      <c r="AH6"/>
      <c r="AI6"/>
    </row>
    <row r="7" spans="2:37" x14ac:dyDescent="0.25">
      <c r="B7" s="165" t="s">
        <v>70</v>
      </c>
      <c r="C7" s="33" t="s">
        <v>65</v>
      </c>
      <c r="D7" s="30">
        <v>446784590</v>
      </c>
      <c r="E7" s="178">
        <f>+D7*$F$6</f>
        <v>8935691.8000000007</v>
      </c>
      <c r="F7" s="178"/>
      <c r="G7" s="179">
        <v>45805</v>
      </c>
      <c r="H7" s="30">
        <f>+'Básico $'!F4+'Básico $'!F5+'Básico $'!F6+'Básico $'!F7+'Básico $'!F8</f>
        <v>34963151</v>
      </c>
      <c r="I7" s="30">
        <f>+D7-H7</f>
        <v>411821439</v>
      </c>
      <c r="J7" s="39">
        <f>+E7/I7</f>
        <v>2.1697976243534034E-2</v>
      </c>
      <c r="K7" s="176" t="s">
        <v>68</v>
      </c>
      <c r="M7" s="33" t="s">
        <v>65</v>
      </c>
      <c r="N7" s="30">
        <v>446784590</v>
      </c>
      <c r="O7" s="75">
        <f>+N7*$F$6</f>
        <v>8935691.8000000007</v>
      </c>
      <c r="P7" s="75">
        <v>6701768.8499999996</v>
      </c>
      <c r="Q7" s="75">
        <v>6701768.8499999996</v>
      </c>
      <c r="R7" s="75">
        <f>+O7+P7+Q7</f>
        <v>22339229.5</v>
      </c>
      <c r="S7" s="75">
        <f>+'Básico $'!I25</f>
        <v>5058742.4366027396</v>
      </c>
      <c r="T7" s="75">
        <f>+'Básico $'!J25</f>
        <v>2377011.0671606814</v>
      </c>
      <c r="U7" s="75">
        <f>+'Básico $'!K25</f>
        <v>1200403.3780732199</v>
      </c>
      <c r="V7" s="75">
        <f>+S7+T7+U7</f>
        <v>8636156.8818366397</v>
      </c>
      <c r="W7" s="75">
        <f>+R7-V7</f>
        <v>13703072.61816336</v>
      </c>
      <c r="X7" s="89">
        <f>+V7/$R$7</f>
        <v>0.38659152867544694</v>
      </c>
      <c r="Y7" s="89">
        <f>+W7/$R$7</f>
        <v>0.61340847132455312</v>
      </c>
      <c r="AC7" s="124"/>
      <c r="AD7" s="124"/>
    </row>
    <row r="8" spans="2:37" x14ac:dyDescent="0.25">
      <c r="B8" s="166"/>
      <c r="C8" s="33" t="s">
        <v>66</v>
      </c>
      <c r="D8" s="30">
        <v>637404</v>
      </c>
      <c r="E8" s="178">
        <f t="shared" ref="E8:E9" si="0">+D8*$F$6</f>
        <v>12748.08</v>
      </c>
      <c r="F8" s="178"/>
      <c r="G8" s="179"/>
      <c r="H8" s="37">
        <v>0</v>
      </c>
      <c r="I8" s="30">
        <f t="shared" ref="I8:I9" si="1">+D8-H8</f>
        <v>637404</v>
      </c>
      <c r="J8" s="49">
        <f t="shared" ref="J8:J9" si="2">+E8/I8</f>
        <v>0.02</v>
      </c>
      <c r="K8" s="176"/>
      <c r="M8" s="33" t="s">
        <v>242</v>
      </c>
      <c r="N8" s="30">
        <v>637404</v>
      </c>
      <c r="O8" s="75">
        <f t="shared" ref="O8:O9" si="3">+N8*$F$6</f>
        <v>12748.08</v>
      </c>
      <c r="P8" s="75">
        <v>9561.06</v>
      </c>
      <c r="Q8" s="75">
        <v>9561.06</v>
      </c>
      <c r="R8" s="75">
        <f t="shared" ref="R8:R9" si="4">+O8+P8+Q8</f>
        <v>31870.199999999997</v>
      </c>
      <c r="S8" s="75">
        <f>+'Básico USD Plaza'!I10</f>
        <v>3865.2983999999997</v>
      </c>
      <c r="T8" s="75">
        <f>+'Básico USD Plaza'!J10</f>
        <v>2898.9737999999998</v>
      </c>
      <c r="U8" s="75">
        <f>+'Básico USD Plaza'!K10</f>
        <v>2715.5984165719719</v>
      </c>
      <c r="V8" s="75">
        <f>+S8+T8+U8</f>
        <v>9479.8706165719705</v>
      </c>
      <c r="W8" s="75">
        <f>+R8-V8</f>
        <v>22390.329383428027</v>
      </c>
      <c r="X8" s="89">
        <f>+V8/$R$8</f>
        <v>0.29745249846477184</v>
      </c>
      <c r="Y8" s="89">
        <f>+W8/$R$8</f>
        <v>0.70254750153522816</v>
      </c>
      <c r="AC8" s="124"/>
      <c r="AD8" s="124"/>
    </row>
    <row r="9" spans="2:37" x14ac:dyDescent="0.25">
      <c r="B9" s="166"/>
      <c r="C9" s="33" t="s">
        <v>67</v>
      </c>
      <c r="D9" s="30">
        <v>451303</v>
      </c>
      <c r="E9" s="178">
        <f t="shared" si="0"/>
        <v>9026.06</v>
      </c>
      <c r="F9" s="178"/>
      <c r="G9" s="179"/>
      <c r="H9" s="37">
        <v>0</v>
      </c>
      <c r="I9" s="30">
        <f t="shared" si="1"/>
        <v>451303</v>
      </c>
      <c r="J9" s="49">
        <f t="shared" si="2"/>
        <v>0.02</v>
      </c>
      <c r="K9" s="176"/>
      <c r="M9" s="33" t="s">
        <v>67</v>
      </c>
      <c r="N9" s="30">
        <v>451303</v>
      </c>
      <c r="O9" s="75">
        <f t="shared" si="3"/>
        <v>9026.06</v>
      </c>
      <c r="P9" s="75">
        <v>6769.5450000000001</v>
      </c>
      <c r="Q9" s="75">
        <v>6769.5450000000001</v>
      </c>
      <c r="R9" s="75">
        <f t="shared" si="4"/>
        <v>22565.15</v>
      </c>
      <c r="S9" s="75">
        <f>+'Básico USD CIF'!I9</f>
        <v>2095.7028</v>
      </c>
      <c r="T9" s="75">
        <f>+'Básico USD CIF'!J9</f>
        <v>1571.7771</v>
      </c>
      <c r="U9" s="75">
        <f>+'Básico USD CIF'!K9</f>
        <v>1571.7771</v>
      </c>
      <c r="V9" s="75">
        <f t="shared" ref="V9" si="5">+S9+T9+U9</f>
        <v>5239.2570000000005</v>
      </c>
      <c r="W9" s="75">
        <f>+R9-V9</f>
        <v>17325.893</v>
      </c>
      <c r="X9" s="89">
        <f>+V9/$R$9</f>
        <v>0.23218356625149844</v>
      </c>
      <c r="Y9" s="89">
        <f>+W9/$R$9</f>
        <v>0.7678164337485015</v>
      </c>
      <c r="AC9" s="124"/>
      <c r="AD9" s="124"/>
    </row>
    <row r="10" spans="2:37" x14ac:dyDescent="0.25">
      <c r="B10" s="43"/>
      <c r="D10" s="42"/>
      <c r="E10" s="44"/>
      <c r="F10" s="44"/>
      <c r="G10" s="40"/>
      <c r="H10" s="44"/>
      <c r="I10" s="42"/>
      <c r="J10" s="45"/>
      <c r="K10" s="41"/>
    </row>
    <row r="11" spans="2:37" x14ac:dyDescent="0.25">
      <c r="B11" s="164" t="s">
        <v>64</v>
      </c>
      <c r="C11" s="164"/>
      <c r="D11" s="38" t="s">
        <v>63</v>
      </c>
      <c r="E11" s="38" t="s">
        <v>71</v>
      </c>
      <c r="F11" s="70">
        <v>1.4999999999999999E-2</v>
      </c>
      <c r="G11" s="47" t="s">
        <v>15</v>
      </c>
      <c r="H11" s="36" t="s">
        <v>167</v>
      </c>
      <c r="I11" s="36" t="s">
        <v>69</v>
      </c>
      <c r="J11" s="36" t="s">
        <v>72</v>
      </c>
      <c r="K11" s="35" t="s">
        <v>32</v>
      </c>
    </row>
    <row r="12" spans="2:37" x14ac:dyDescent="0.25">
      <c r="B12" s="165" t="s">
        <v>114</v>
      </c>
      <c r="C12" s="33" t="s">
        <v>65</v>
      </c>
      <c r="D12" s="30">
        <v>446784590</v>
      </c>
      <c r="E12" s="167">
        <f>+D12*$F$11</f>
        <v>6701768.8499999996</v>
      </c>
      <c r="F12" s="167"/>
      <c r="G12" s="181">
        <v>45975</v>
      </c>
      <c r="H12" s="30">
        <f>+'Básico $'!F4+'Básico $'!F5+'Básico $'!F6+'Básico $'!F7+'Básico $'!F8+'Básico $'!F9+'Básico $'!F10+'Básico $'!F11+'Básico $'!F12+'Básico $'!F13+'Básico $'!F14</f>
        <v>146586359.09</v>
      </c>
      <c r="I12" s="30">
        <f>+D12-H12</f>
        <v>300198230.90999997</v>
      </c>
      <c r="J12" s="39">
        <v>2.2324E-2</v>
      </c>
      <c r="K12" s="176" t="s">
        <v>116</v>
      </c>
    </row>
    <row r="13" spans="2:37" x14ac:dyDescent="0.25">
      <c r="B13" s="166"/>
      <c r="C13" s="33" t="s">
        <v>66</v>
      </c>
      <c r="D13" s="30">
        <v>637404</v>
      </c>
      <c r="E13" s="178">
        <f t="shared" ref="E13:E14" si="6">+D13*$F$11</f>
        <v>9561.06</v>
      </c>
      <c r="F13" s="178"/>
      <c r="G13" s="169"/>
      <c r="H13" s="37">
        <v>0</v>
      </c>
      <c r="I13" s="30">
        <f t="shared" ref="I13:I14" si="7">+D13-H13</f>
        <v>637404</v>
      </c>
      <c r="J13" s="49">
        <f t="shared" ref="J13:J14" si="8">+E13/I13</f>
        <v>1.4999999999999999E-2</v>
      </c>
      <c r="K13" s="176"/>
    </row>
    <row r="14" spans="2:37" x14ac:dyDescent="0.25">
      <c r="B14" s="166"/>
      <c r="C14" s="33" t="s">
        <v>67</v>
      </c>
      <c r="D14" s="30">
        <v>451303</v>
      </c>
      <c r="E14" s="178">
        <f t="shared" si="6"/>
        <v>6769.5450000000001</v>
      </c>
      <c r="F14" s="178"/>
      <c r="G14" s="169"/>
      <c r="H14" s="37">
        <v>0</v>
      </c>
      <c r="I14" s="30">
        <f t="shared" si="7"/>
        <v>451303</v>
      </c>
      <c r="J14" s="49">
        <f t="shared" si="8"/>
        <v>1.4999999999999999E-2</v>
      </c>
      <c r="K14" s="176"/>
    </row>
    <row r="16" spans="2:37" x14ac:dyDescent="0.25">
      <c r="B16" s="164" t="s">
        <v>64</v>
      </c>
      <c r="C16" s="164"/>
      <c r="D16" s="38" t="s">
        <v>63</v>
      </c>
      <c r="E16" s="38" t="s">
        <v>71</v>
      </c>
      <c r="F16" s="70">
        <v>1.4999999999999999E-2</v>
      </c>
      <c r="G16" s="47" t="s">
        <v>15</v>
      </c>
      <c r="H16" s="36" t="s">
        <v>167</v>
      </c>
      <c r="I16" s="36" t="s">
        <v>69</v>
      </c>
      <c r="J16" s="36" t="s">
        <v>72</v>
      </c>
      <c r="K16" s="35" t="s">
        <v>32</v>
      </c>
    </row>
    <row r="17" spans="2:11" x14ac:dyDescent="0.25">
      <c r="B17" s="165" t="s">
        <v>115</v>
      </c>
      <c r="C17" s="33" t="s">
        <v>65</v>
      </c>
      <c r="D17" s="30">
        <v>446784590</v>
      </c>
      <c r="E17" s="167">
        <f>+D17*$F$11</f>
        <v>6701768.8499999996</v>
      </c>
      <c r="F17" s="167"/>
      <c r="G17" s="180">
        <v>46101</v>
      </c>
      <c r="H17" s="30">
        <v>210793495.74000001</v>
      </c>
      <c r="I17" s="30">
        <f>+D17-H17</f>
        <v>235991094.25999999</v>
      </c>
      <c r="J17" s="71">
        <v>2.8398E-2</v>
      </c>
      <c r="K17" s="169">
        <v>102</v>
      </c>
    </row>
    <row r="18" spans="2:11" x14ac:dyDescent="0.25">
      <c r="B18" s="166"/>
      <c r="C18" s="33" t="s">
        <v>66</v>
      </c>
      <c r="D18" s="30">
        <v>637404</v>
      </c>
      <c r="E18" s="178">
        <f t="shared" ref="E18:E19" si="9">+D18*$F$11</f>
        <v>9561.06</v>
      </c>
      <c r="F18" s="178"/>
      <c r="G18" s="166"/>
      <c r="H18" s="37">
        <f>+'Básico USD Plaza'!F4</f>
        <v>17074.7</v>
      </c>
      <c r="I18" s="30">
        <f t="shared" ref="I18:I19" si="10">+D18-H18</f>
        <v>620329.30000000005</v>
      </c>
      <c r="J18" s="39">
        <f t="shared" ref="J18:J19" si="11">+E18/I18</f>
        <v>1.5412878288999083E-2</v>
      </c>
      <c r="K18" s="169"/>
    </row>
    <row r="19" spans="2:11" x14ac:dyDescent="0.25">
      <c r="B19" s="166"/>
      <c r="C19" s="33" t="s">
        <v>67</v>
      </c>
      <c r="D19" s="30">
        <v>451303</v>
      </c>
      <c r="E19" s="178">
        <f t="shared" si="9"/>
        <v>6769.5450000000001</v>
      </c>
      <c r="F19" s="178"/>
      <c r="G19" s="166"/>
      <c r="H19" s="37">
        <v>0</v>
      </c>
      <c r="I19" s="30">
        <f t="shared" si="10"/>
        <v>451303</v>
      </c>
      <c r="J19" s="67">
        <f t="shared" si="11"/>
        <v>1.4999999999999999E-2</v>
      </c>
      <c r="K19" s="169"/>
    </row>
    <row r="53" spans="2:14" x14ac:dyDescent="0.25">
      <c r="B53" t="s">
        <v>340</v>
      </c>
    </row>
    <row r="55" spans="2:14" x14ac:dyDescent="0.25">
      <c r="B55" s="88" t="s">
        <v>243</v>
      </c>
      <c r="M55" s="140" t="s">
        <v>342</v>
      </c>
      <c r="N55" s="140">
        <v>38.792000000000002</v>
      </c>
    </row>
    <row r="57" spans="2:14" x14ac:dyDescent="0.25">
      <c r="B57" s="177" t="s">
        <v>64</v>
      </c>
      <c r="C57" s="177"/>
      <c r="D57" s="46" t="s">
        <v>63</v>
      </c>
      <c r="E57" s="38" t="s">
        <v>336</v>
      </c>
      <c r="F57" s="69">
        <v>0.02</v>
      </c>
      <c r="G57" s="47" t="s">
        <v>335</v>
      </c>
      <c r="H57" s="36" t="s">
        <v>167</v>
      </c>
      <c r="I57" s="47" t="s">
        <v>69</v>
      </c>
      <c r="J57" s="47" t="s">
        <v>72</v>
      </c>
      <c r="K57" s="48" t="s">
        <v>32</v>
      </c>
    </row>
    <row r="58" spans="2:14" x14ac:dyDescent="0.25">
      <c r="B58" s="165" t="s">
        <v>70</v>
      </c>
      <c r="C58" s="33" t="s">
        <v>65</v>
      </c>
      <c r="D58" s="30">
        <v>166552456</v>
      </c>
      <c r="E58" s="178">
        <f>D58*$F$57</f>
        <v>3331049.12</v>
      </c>
      <c r="F58" s="178"/>
      <c r="G58" s="179" t="s">
        <v>341</v>
      </c>
      <c r="H58" s="170">
        <v>30437309</v>
      </c>
      <c r="I58" s="170">
        <f>+D58+(D59*TC+D60*TC)-H58</f>
        <v>156254277.58560002</v>
      </c>
      <c r="J58" s="173">
        <f>(E58+(E59*TC+E60*TC))/I58</f>
        <v>2.3895868896558776E-2</v>
      </c>
      <c r="K58" s="176"/>
    </row>
    <row r="59" spans="2:14" x14ac:dyDescent="0.25">
      <c r="B59" s="166"/>
      <c r="C59" s="33" t="s">
        <v>66</v>
      </c>
      <c r="D59" s="30">
        <v>294444.5</v>
      </c>
      <c r="E59" s="178">
        <f t="shared" ref="E59:E60" si="12">D59*$F$57</f>
        <v>5888.89</v>
      </c>
      <c r="F59" s="178"/>
      <c r="G59" s="179"/>
      <c r="H59" s="171"/>
      <c r="I59" s="171"/>
      <c r="J59" s="174"/>
      <c r="K59" s="176"/>
    </row>
    <row r="60" spans="2:14" x14ac:dyDescent="0.25">
      <c r="B60" s="166"/>
      <c r="C60" s="33" t="s">
        <v>67</v>
      </c>
      <c r="D60" s="30">
        <v>224712.30000000005</v>
      </c>
      <c r="E60" s="178">
        <f t="shared" si="12"/>
        <v>4494.246000000001</v>
      </c>
      <c r="F60" s="178"/>
      <c r="G60" s="179"/>
      <c r="H60" s="172"/>
      <c r="I60" s="172"/>
      <c r="J60" s="175"/>
      <c r="K60" s="176"/>
    </row>
    <row r="61" spans="2:14" x14ac:dyDescent="0.25">
      <c r="B61" s="43"/>
      <c r="D61" s="42"/>
      <c r="E61" s="44"/>
      <c r="F61" s="44"/>
      <c r="G61" s="40"/>
      <c r="H61" s="143"/>
      <c r="I61" s="144"/>
      <c r="J61" s="145"/>
      <c r="K61" s="41"/>
    </row>
    <row r="62" spans="2:14" x14ac:dyDescent="0.25">
      <c r="B62" s="164" t="s">
        <v>64</v>
      </c>
      <c r="C62" s="164"/>
      <c r="D62" s="38" t="s">
        <v>63</v>
      </c>
      <c r="E62" s="38" t="s">
        <v>336</v>
      </c>
      <c r="F62" s="70">
        <v>1.4999999999999999E-2</v>
      </c>
      <c r="G62" s="47" t="s">
        <v>335</v>
      </c>
      <c r="H62" s="146" t="s">
        <v>167</v>
      </c>
      <c r="I62" s="146" t="s">
        <v>69</v>
      </c>
      <c r="J62" s="146" t="s">
        <v>72</v>
      </c>
      <c r="K62" s="35" t="s">
        <v>32</v>
      </c>
    </row>
    <row r="63" spans="2:14" x14ac:dyDescent="0.25">
      <c r="B63" s="165" t="s">
        <v>114</v>
      </c>
      <c r="C63" s="33" t="s">
        <v>65</v>
      </c>
      <c r="D63" s="30">
        <v>166552456</v>
      </c>
      <c r="E63" s="167">
        <f>+D63*$F$62</f>
        <v>2498286.84</v>
      </c>
      <c r="F63" s="167"/>
      <c r="G63" s="168">
        <v>46357</v>
      </c>
      <c r="H63" s="170">
        <v>69480418</v>
      </c>
      <c r="I63" s="170">
        <f>+D63+(D64*TC+D65*TC)-H63</f>
        <v>117211168.58560002</v>
      </c>
      <c r="J63" s="173">
        <f>(E63+(E64*TC+E65*TC))/I63</f>
        <v>2.3891697630664524E-2</v>
      </c>
      <c r="K63" s="176"/>
    </row>
    <row r="64" spans="2:14" x14ac:dyDescent="0.25">
      <c r="B64" s="166"/>
      <c r="C64" s="33" t="s">
        <v>66</v>
      </c>
      <c r="D64" s="30">
        <v>294444.5</v>
      </c>
      <c r="E64" s="167">
        <f t="shared" ref="E64:E65" si="13">+D64*$F$62</f>
        <v>4416.6674999999996</v>
      </c>
      <c r="F64" s="167"/>
      <c r="G64" s="169"/>
      <c r="H64" s="171"/>
      <c r="I64" s="171"/>
      <c r="J64" s="174"/>
      <c r="K64" s="176"/>
    </row>
    <row r="65" spans="2:11" x14ac:dyDescent="0.25">
      <c r="B65" s="166"/>
      <c r="C65" s="33" t="s">
        <v>67</v>
      </c>
      <c r="D65" s="30">
        <v>224712.30000000005</v>
      </c>
      <c r="E65" s="167">
        <f t="shared" si="13"/>
        <v>3370.6845000000008</v>
      </c>
      <c r="F65" s="167"/>
      <c r="G65" s="169"/>
      <c r="H65" s="172"/>
      <c r="I65" s="172"/>
      <c r="J65" s="175"/>
      <c r="K65" s="176"/>
    </row>
    <row r="66" spans="2:11" x14ac:dyDescent="0.25">
      <c r="H66" s="147"/>
      <c r="I66" s="147"/>
      <c r="J66" s="147"/>
    </row>
    <row r="67" spans="2:11" x14ac:dyDescent="0.25">
      <c r="B67" s="164" t="s">
        <v>64</v>
      </c>
      <c r="C67" s="164"/>
      <c r="D67" s="38" t="s">
        <v>63</v>
      </c>
      <c r="E67" s="38" t="s">
        <v>336</v>
      </c>
      <c r="F67" s="70">
        <v>1.4999999999999999E-2</v>
      </c>
      <c r="G67" s="47" t="s">
        <v>335</v>
      </c>
      <c r="H67" s="146" t="s">
        <v>167</v>
      </c>
      <c r="I67" s="146" t="s">
        <v>69</v>
      </c>
      <c r="J67" s="146" t="s">
        <v>72</v>
      </c>
      <c r="K67" s="35" t="s">
        <v>32</v>
      </c>
    </row>
    <row r="68" spans="2:11" x14ac:dyDescent="0.25">
      <c r="B68" s="165" t="s">
        <v>115</v>
      </c>
      <c r="C68" s="33" t="s">
        <v>65</v>
      </c>
      <c r="D68" s="30">
        <v>166552456</v>
      </c>
      <c r="E68" s="167">
        <f>+D68*$F$67</f>
        <v>2498286.84</v>
      </c>
      <c r="F68" s="167"/>
      <c r="G68" s="168">
        <v>46508</v>
      </c>
      <c r="H68" s="170">
        <v>133306761</v>
      </c>
      <c r="I68" s="170">
        <f>+D68+(D69*TC+D70*TC)-H68</f>
        <v>53384825.585600019</v>
      </c>
      <c r="J68" s="173">
        <f>(E68+(E69*TC+E70*TC))/I68</f>
        <v>5.2456363171848042E-2</v>
      </c>
      <c r="K68" s="169"/>
    </row>
    <row r="69" spans="2:11" x14ac:dyDescent="0.25">
      <c r="B69" s="166"/>
      <c r="C69" s="33" t="s">
        <v>66</v>
      </c>
      <c r="D69" s="30">
        <v>294444.5</v>
      </c>
      <c r="E69" s="167">
        <f t="shared" ref="E69:E70" si="14">+D69*$F$67</f>
        <v>4416.6674999999996</v>
      </c>
      <c r="F69" s="167"/>
      <c r="G69" s="169"/>
      <c r="H69" s="171"/>
      <c r="I69" s="171"/>
      <c r="J69" s="174"/>
      <c r="K69" s="169"/>
    </row>
    <row r="70" spans="2:11" x14ac:dyDescent="0.25">
      <c r="B70" s="166"/>
      <c r="C70" s="33" t="s">
        <v>67</v>
      </c>
      <c r="D70" s="30">
        <v>224712.30000000005</v>
      </c>
      <c r="E70" s="167">
        <f t="shared" si="14"/>
        <v>3370.6845000000008</v>
      </c>
      <c r="F70" s="167"/>
      <c r="G70" s="169"/>
      <c r="H70" s="172"/>
      <c r="I70" s="172"/>
      <c r="J70" s="175"/>
      <c r="K70" s="169"/>
    </row>
    <row r="74" spans="2:11" x14ac:dyDescent="0.25">
      <c r="D74" s="33" t="s">
        <v>337</v>
      </c>
      <c r="E74" s="142">
        <f>+E58+E59*TC+E60*TC</f>
        <v>3733831.731712</v>
      </c>
    </row>
    <row r="75" spans="2:11" x14ac:dyDescent="0.25">
      <c r="D75" s="33" t="s">
        <v>338</v>
      </c>
      <c r="E75" s="142">
        <f>+E63+E64*TC+E65*TC</f>
        <v>2800373.7987839999</v>
      </c>
    </row>
    <row r="76" spans="2:11" x14ac:dyDescent="0.25">
      <c r="D76" s="33" t="s">
        <v>339</v>
      </c>
      <c r="E76" s="142">
        <f>+E68+E70*TC+E69*TC</f>
        <v>2800373.7987839999</v>
      </c>
    </row>
    <row r="83" spans="2:3" x14ac:dyDescent="0.25">
      <c r="B83" s="42"/>
      <c r="C83" s="138"/>
    </row>
    <row r="84" spans="2:3" x14ac:dyDescent="0.25">
      <c r="B84" s="42"/>
    </row>
    <row r="85" spans="2:3" x14ac:dyDescent="0.25">
      <c r="B85" s="42"/>
    </row>
    <row r="87" spans="2:3" x14ac:dyDescent="0.25">
      <c r="C87" s="138"/>
    </row>
    <row r="88" spans="2:3" x14ac:dyDescent="0.25">
      <c r="B88" s="139"/>
    </row>
    <row r="89" spans="2:3" x14ac:dyDescent="0.25">
      <c r="B89" s="138"/>
    </row>
    <row r="92" spans="2:3" x14ac:dyDescent="0.25">
      <c r="B92" s="138"/>
    </row>
    <row r="93" spans="2:3" x14ac:dyDescent="0.25">
      <c r="B93" s="141"/>
    </row>
  </sheetData>
  <mergeCells count="51">
    <mergeCell ref="G12:G14"/>
    <mergeCell ref="K12:K14"/>
    <mergeCell ref="B6:C6"/>
    <mergeCell ref="B7:B9"/>
    <mergeCell ref="B12:B14"/>
    <mergeCell ref="E12:F12"/>
    <mergeCell ref="E13:F13"/>
    <mergeCell ref="E14:F14"/>
    <mergeCell ref="B11:C11"/>
    <mergeCell ref="K7:K9"/>
    <mergeCell ref="E7:F7"/>
    <mergeCell ref="E8:F8"/>
    <mergeCell ref="E9:F9"/>
    <mergeCell ref="G7:G9"/>
    <mergeCell ref="B16:C16"/>
    <mergeCell ref="B17:B19"/>
    <mergeCell ref="E17:F17"/>
    <mergeCell ref="G17:G19"/>
    <mergeCell ref="K17:K19"/>
    <mergeCell ref="E18:F18"/>
    <mergeCell ref="E19:F19"/>
    <mergeCell ref="B57:C57"/>
    <mergeCell ref="B58:B60"/>
    <mergeCell ref="E58:F58"/>
    <mergeCell ref="G58:G60"/>
    <mergeCell ref="K58:K60"/>
    <mergeCell ref="E59:F59"/>
    <mergeCell ref="E60:F60"/>
    <mergeCell ref="H58:H60"/>
    <mergeCell ref="I58:I60"/>
    <mergeCell ref="J58:J60"/>
    <mergeCell ref="B62:C62"/>
    <mergeCell ref="B63:B65"/>
    <mergeCell ref="E63:F63"/>
    <mergeCell ref="G63:G65"/>
    <mergeCell ref="K63:K65"/>
    <mergeCell ref="E64:F64"/>
    <mergeCell ref="E65:F65"/>
    <mergeCell ref="H63:H65"/>
    <mergeCell ref="I63:I65"/>
    <mergeCell ref="J63:J65"/>
    <mergeCell ref="B67:C67"/>
    <mergeCell ref="B68:B70"/>
    <mergeCell ref="E68:F68"/>
    <mergeCell ref="G68:G70"/>
    <mergeCell ref="K68:K70"/>
    <mergeCell ref="E69:F69"/>
    <mergeCell ref="E70:F70"/>
    <mergeCell ref="H68:H70"/>
    <mergeCell ref="I68:I70"/>
    <mergeCell ref="J68:J70"/>
  </mergeCells>
  <pageMargins left="0.7" right="0.7" top="0.75" bottom="0.75" header="0.3" footer="0.3"/>
  <ignoredErrors>
    <ignoredError sqref="K7 K12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A3AE-7C22-471C-835A-387CC5AF9CC0}">
  <sheetPr codeName="Hoja3">
    <tabColor theme="9" tint="0.79998168889431442"/>
    <pageSetUpPr fitToPage="1"/>
  </sheetPr>
  <dimension ref="A1:AY92"/>
  <sheetViews>
    <sheetView zoomScale="102" zoomScaleNormal="102" workbookViewId="0">
      <selection activeCell="D31" sqref="D31"/>
    </sheetView>
  </sheetViews>
  <sheetFormatPr baseColWidth="10" defaultColWidth="11.42578125" defaultRowHeight="15" x14ac:dyDescent="0.25"/>
  <cols>
    <col min="1" max="1" width="4.5703125" style="1" customWidth="1"/>
    <col min="2" max="2" width="18" style="1" bestFit="1" customWidth="1"/>
    <col min="3" max="3" width="14.85546875" style="1" bestFit="1" customWidth="1"/>
    <col min="4" max="4" width="16" style="1" customWidth="1"/>
    <col min="5" max="5" width="16.140625" style="1" customWidth="1"/>
    <col min="6" max="6" width="17.85546875" style="8" customWidth="1"/>
    <col min="7" max="7" width="17.28515625" style="8" customWidth="1"/>
    <col min="8" max="8" width="18.7109375" style="8" customWidth="1"/>
    <col min="9" max="9" width="15" style="8" customWidth="1"/>
    <col min="10" max="10" width="15.42578125" style="8" customWidth="1"/>
    <col min="11" max="11" width="12.42578125" style="8" customWidth="1"/>
    <col min="12" max="12" width="33.140625" style="8" customWidth="1"/>
    <col min="13" max="13" width="40.5703125" style="8" customWidth="1"/>
    <col min="14" max="14" width="21.5703125" style="8" customWidth="1"/>
    <col min="15" max="15" width="36.42578125" style="8" customWidth="1"/>
    <col min="16" max="16" width="20.5703125" style="8" customWidth="1"/>
    <col min="17" max="17" width="18.28515625" style="8" customWidth="1"/>
    <col min="18" max="18" width="11.42578125" style="8" customWidth="1"/>
    <col min="19" max="19" width="12.5703125" style="8" customWidth="1"/>
    <col min="20" max="20" width="54.140625" style="1" bestFit="1" customWidth="1"/>
    <col min="21" max="21" width="11.42578125" style="13"/>
    <col min="22" max="23" width="11.42578125" style="1"/>
    <col min="24" max="24" width="22.85546875" style="1" bestFit="1" customWidth="1"/>
    <col min="25" max="25" width="18.28515625" style="1" customWidth="1"/>
    <col min="26" max="26" width="13.42578125" style="1" bestFit="1" customWidth="1"/>
    <col min="27" max="27" width="13.28515625" style="1" bestFit="1" customWidth="1"/>
    <col min="28" max="28" width="18.28515625" style="1" bestFit="1" customWidth="1"/>
    <col min="29" max="29" width="13.28515625" style="1" bestFit="1" customWidth="1"/>
    <col min="30" max="32" width="11.42578125" style="1"/>
    <col min="33" max="33" width="14.28515625" style="1" bestFit="1" customWidth="1"/>
    <col min="34" max="34" width="12.140625" style="1" bestFit="1" customWidth="1"/>
    <col min="35" max="38" width="11.42578125" style="1"/>
    <col min="39" max="39" width="17.85546875" style="1" bestFit="1" customWidth="1"/>
    <col min="40" max="40" width="12.140625" style="1" bestFit="1" customWidth="1"/>
    <col min="41" max="43" width="11.42578125" style="1"/>
    <col min="44" max="44" width="19.42578125" style="1" bestFit="1" customWidth="1"/>
    <col min="45" max="45" width="12.140625" style="1" bestFit="1" customWidth="1"/>
    <col min="46" max="49" width="11.42578125" style="1"/>
    <col min="50" max="50" width="16.7109375" style="1" bestFit="1" customWidth="1"/>
    <col min="51" max="51" width="12.140625" style="1" bestFit="1" customWidth="1"/>
    <col min="52" max="16384" width="11.42578125" style="1"/>
  </cols>
  <sheetData>
    <row r="1" spans="2:51" x14ac:dyDescent="0.25">
      <c r="B1" s="35" t="s">
        <v>244</v>
      </c>
      <c r="C1" s="30">
        <v>446784590</v>
      </c>
    </row>
    <row r="2" spans="2:51" x14ac:dyDescent="0.25">
      <c r="AB2" s="149" t="s">
        <v>269</v>
      </c>
      <c r="AC2" s="149"/>
      <c r="AG2" s="149" t="s">
        <v>4</v>
      </c>
      <c r="AH2" s="149"/>
      <c r="AM2" s="149" t="s">
        <v>259</v>
      </c>
      <c r="AN2" s="149"/>
      <c r="AR2" s="149" t="s">
        <v>258</v>
      </c>
      <c r="AS2" s="149"/>
      <c r="AX2" s="149" t="s">
        <v>262</v>
      </c>
      <c r="AY2" s="149"/>
    </row>
    <row r="3" spans="2:51" s="4" customFormat="1" x14ac:dyDescent="0.25">
      <c r="B3" s="3" t="s">
        <v>0</v>
      </c>
      <c r="C3" s="3" t="s">
        <v>14</v>
      </c>
      <c r="D3" s="3" t="s">
        <v>2</v>
      </c>
      <c r="E3" s="3" t="s">
        <v>13</v>
      </c>
      <c r="F3" s="6" t="s">
        <v>3</v>
      </c>
      <c r="G3" s="6" t="s">
        <v>4</v>
      </c>
      <c r="H3" s="6" t="s">
        <v>5</v>
      </c>
      <c r="I3" s="6" t="s">
        <v>9</v>
      </c>
      <c r="J3" s="6" t="s">
        <v>10</v>
      </c>
      <c r="K3" s="6" t="s">
        <v>11</v>
      </c>
      <c r="L3" s="6" t="s">
        <v>47</v>
      </c>
      <c r="M3" s="6" t="s">
        <v>48</v>
      </c>
      <c r="N3" s="6" t="s">
        <v>308</v>
      </c>
      <c r="O3" s="6" t="s">
        <v>33</v>
      </c>
      <c r="P3" s="6" t="s">
        <v>6</v>
      </c>
      <c r="Q3" s="6" t="s">
        <v>7</v>
      </c>
      <c r="R3" s="6" t="s">
        <v>8</v>
      </c>
      <c r="S3" s="6" t="s">
        <v>15</v>
      </c>
      <c r="T3" s="3" t="s">
        <v>12</v>
      </c>
      <c r="U3" s="3" t="s">
        <v>17</v>
      </c>
      <c r="V3" s="3" t="s">
        <v>18</v>
      </c>
      <c r="X3" s="149" t="s">
        <v>245</v>
      </c>
      <c r="Y3" s="149"/>
      <c r="AB3" s="102" t="s">
        <v>244</v>
      </c>
      <c r="AC3" s="7">
        <f>+C1</f>
        <v>446784590</v>
      </c>
      <c r="AG3" s="102" t="s">
        <v>266</v>
      </c>
      <c r="AH3" s="7">
        <f>+AC3*0.22</f>
        <v>98292609.799999997</v>
      </c>
      <c r="AM3" s="102" t="s">
        <v>259</v>
      </c>
      <c r="AN3" s="7">
        <f>+AC3*0.05</f>
        <v>22339229.5</v>
      </c>
      <c r="AR3" s="102" t="s">
        <v>258</v>
      </c>
      <c r="AS3" s="7">
        <f>+AC3*0.05</f>
        <v>22339229.5</v>
      </c>
      <c r="AX3" s="102" t="s">
        <v>262</v>
      </c>
      <c r="AY3" s="7">
        <f>+AC3*0.025</f>
        <v>11169614.75</v>
      </c>
    </row>
    <row r="4" spans="2:51" x14ac:dyDescent="0.25">
      <c r="B4" s="16" t="s">
        <v>24</v>
      </c>
      <c r="C4" s="5">
        <v>45627</v>
      </c>
      <c r="D4" s="2" t="s">
        <v>73</v>
      </c>
      <c r="E4" s="9">
        <v>45688</v>
      </c>
      <c r="F4" s="7">
        <v>3020726</v>
      </c>
      <c r="G4" s="68">
        <f>+F4*0.22</f>
        <v>664559.72</v>
      </c>
      <c r="H4" s="68">
        <f>+F4+G4</f>
        <v>3685285.7199999997</v>
      </c>
      <c r="I4" s="7"/>
      <c r="J4" s="7"/>
      <c r="K4" s="7"/>
      <c r="L4" s="7">
        <f t="shared" ref="L4:L9" si="0">+F4*0.05</f>
        <v>151036.30000000002</v>
      </c>
      <c r="M4" s="68">
        <f t="shared" ref="M4:M9" si="1">+F4*0.025</f>
        <v>75518.150000000009</v>
      </c>
      <c r="N4" s="7">
        <f>+F4-I4-J4-K4-L4-M4</f>
        <v>2794171.5500000003</v>
      </c>
      <c r="O4" s="7"/>
      <c r="P4" s="68">
        <f t="shared" ref="P4:P9" si="2">+F4-I4-J4-K4-L4-M4</f>
        <v>2794171.5500000003</v>
      </c>
      <c r="Q4" s="7">
        <v>2794172</v>
      </c>
      <c r="R4" s="7">
        <f t="shared" ref="R4:R10" si="3">+P4-Q4</f>
        <v>-0.44999999972060323</v>
      </c>
      <c r="S4" s="9">
        <v>45646</v>
      </c>
      <c r="T4" s="2" t="s">
        <v>16</v>
      </c>
      <c r="U4" s="12">
        <v>1</v>
      </c>
      <c r="V4" s="15" t="s">
        <v>19</v>
      </c>
      <c r="X4" s="26" t="str">
        <f>+AB4</f>
        <v>Monto avanzado</v>
      </c>
      <c r="Y4" s="26">
        <f>+AC4</f>
        <v>268106410.13</v>
      </c>
      <c r="AA4" s="95"/>
      <c r="AB4" s="102" t="s">
        <v>251</v>
      </c>
      <c r="AC4" s="7">
        <f>+F25</f>
        <v>268106410.13</v>
      </c>
      <c r="AG4" s="102" t="s">
        <v>267</v>
      </c>
      <c r="AH4" s="7">
        <f>+G25</f>
        <v>58983410.228599995</v>
      </c>
      <c r="AM4" s="102" t="s">
        <v>246</v>
      </c>
      <c r="AN4" s="7">
        <f>+I25+J25+K25</f>
        <v>8636156.8818366397</v>
      </c>
      <c r="AR4" s="102" t="s">
        <v>247</v>
      </c>
      <c r="AS4" s="7">
        <f>+L25</f>
        <v>13405320.506500002</v>
      </c>
      <c r="AX4" s="102" t="s">
        <v>263</v>
      </c>
      <c r="AY4" s="7">
        <f>+M25</f>
        <v>6702660.253250001</v>
      </c>
    </row>
    <row r="5" spans="2:51" x14ac:dyDescent="0.25">
      <c r="B5" s="16" t="s">
        <v>25</v>
      </c>
      <c r="C5" s="5">
        <v>45658</v>
      </c>
      <c r="D5" s="2" t="s">
        <v>74</v>
      </c>
      <c r="E5" s="9">
        <v>45688</v>
      </c>
      <c r="F5" s="7">
        <v>2620526</v>
      </c>
      <c r="G5" s="68">
        <f t="shared" ref="G5:G6" si="4">+F5*0.22</f>
        <v>576515.72</v>
      </c>
      <c r="H5" s="68">
        <f t="shared" ref="H5:H6" si="5">+F5+G5</f>
        <v>3197041.7199999997</v>
      </c>
      <c r="I5" s="7"/>
      <c r="J5" s="7"/>
      <c r="K5" s="7"/>
      <c r="L5" s="7">
        <f t="shared" si="0"/>
        <v>131026.3</v>
      </c>
      <c r="M5" s="68">
        <f t="shared" si="1"/>
        <v>65513.15</v>
      </c>
      <c r="N5" s="7">
        <f t="shared" ref="N5:N22" si="6">+F5-I5-J5-K5-L5-M5</f>
        <v>2423986.5500000003</v>
      </c>
      <c r="O5" s="7"/>
      <c r="P5" s="68">
        <f t="shared" si="2"/>
        <v>2423986.5500000003</v>
      </c>
      <c r="Q5" s="7">
        <v>2423986.2200000002</v>
      </c>
      <c r="R5" s="7">
        <f t="shared" si="3"/>
        <v>0.33000000007450581</v>
      </c>
      <c r="S5" s="9">
        <v>45714</v>
      </c>
      <c r="T5" s="2"/>
      <c r="U5" s="12">
        <v>1</v>
      </c>
      <c r="V5" s="15" t="s">
        <v>20</v>
      </c>
      <c r="X5" s="27" t="str">
        <f>+AG3</f>
        <v>IVA contrato</v>
      </c>
      <c r="Y5" s="27">
        <f>+AH3</f>
        <v>98292609.799999997</v>
      </c>
      <c r="AA5" s="95"/>
      <c r="AB5" s="103" t="s">
        <v>260</v>
      </c>
      <c r="AC5" s="27">
        <f>+AC3-AC4</f>
        <v>178678179.87</v>
      </c>
      <c r="AG5" s="103" t="s">
        <v>268</v>
      </c>
      <c r="AH5" s="27">
        <f>+AH3-AH4</f>
        <v>39309199.571400002</v>
      </c>
      <c r="AM5" s="102" t="s">
        <v>265</v>
      </c>
      <c r="AN5" s="7">
        <f>+AN3-AN4</f>
        <v>13703072.61816336</v>
      </c>
      <c r="AR5" s="102" t="s">
        <v>261</v>
      </c>
      <c r="AS5" s="7">
        <f>+AS3-AS4</f>
        <v>8933908.993499998</v>
      </c>
      <c r="AX5" s="102" t="s">
        <v>264</v>
      </c>
      <c r="AY5" s="7">
        <f>+AY3-AY4</f>
        <v>4466954.496749999</v>
      </c>
    </row>
    <row r="6" spans="2:51" x14ac:dyDescent="0.25">
      <c r="B6" s="16" t="s">
        <v>26</v>
      </c>
      <c r="C6" s="5">
        <v>45689</v>
      </c>
      <c r="D6" s="2" t="s">
        <v>75</v>
      </c>
      <c r="E6" s="9">
        <v>45716</v>
      </c>
      <c r="F6" s="7">
        <v>7539478</v>
      </c>
      <c r="G6" s="68">
        <f t="shared" si="4"/>
        <v>1658685.16</v>
      </c>
      <c r="H6" s="68">
        <f t="shared" si="5"/>
        <v>9198163.1600000001</v>
      </c>
      <c r="I6" s="7"/>
      <c r="J6" s="7"/>
      <c r="K6" s="7"/>
      <c r="L6" s="7">
        <f t="shared" si="0"/>
        <v>376973.9</v>
      </c>
      <c r="M6" s="68">
        <f t="shared" si="1"/>
        <v>188486.95</v>
      </c>
      <c r="N6" s="7">
        <f t="shared" si="6"/>
        <v>6974017.1499999994</v>
      </c>
      <c r="O6" s="7"/>
      <c r="P6" s="68">
        <f t="shared" si="2"/>
        <v>6974017.1499999994</v>
      </c>
      <c r="Q6" s="7">
        <v>6974017.1499999994</v>
      </c>
      <c r="R6" s="7">
        <f t="shared" si="3"/>
        <v>0</v>
      </c>
      <c r="S6" s="9">
        <v>45736</v>
      </c>
      <c r="T6" s="2"/>
      <c r="U6" s="12">
        <v>2</v>
      </c>
      <c r="V6" s="15" t="s">
        <v>21</v>
      </c>
      <c r="X6" s="2" t="s">
        <v>270</v>
      </c>
      <c r="Y6" s="27">
        <f>+Y4+Y5</f>
        <v>366399019.93000001</v>
      </c>
      <c r="AA6" s="95"/>
    </row>
    <row r="7" spans="2:51" x14ac:dyDescent="0.25">
      <c r="B7" s="16" t="s">
        <v>27</v>
      </c>
      <c r="C7" s="5">
        <v>45717</v>
      </c>
      <c r="D7" s="2" t="s">
        <v>76</v>
      </c>
      <c r="E7" s="9">
        <v>45747</v>
      </c>
      <c r="F7" s="7">
        <v>14122299</v>
      </c>
      <c r="G7" s="68">
        <f t="shared" ref="G7:G12" si="7">+F7*0.22</f>
        <v>3106905.78</v>
      </c>
      <c r="H7" s="68">
        <f t="shared" ref="H7:H12" si="8">+F7+G7</f>
        <v>17229204.780000001</v>
      </c>
      <c r="I7" s="7"/>
      <c r="J7" s="7"/>
      <c r="K7" s="7"/>
      <c r="L7" s="7">
        <f t="shared" si="0"/>
        <v>706114.95000000007</v>
      </c>
      <c r="M7" s="68">
        <f t="shared" si="1"/>
        <v>353057.47500000003</v>
      </c>
      <c r="N7" s="7">
        <f t="shared" si="6"/>
        <v>13063126.575000001</v>
      </c>
      <c r="O7" s="7"/>
      <c r="P7" s="68">
        <f t="shared" si="2"/>
        <v>13063126.575000001</v>
      </c>
      <c r="Q7" s="7">
        <v>13063126.58</v>
      </c>
      <c r="R7" s="7">
        <f t="shared" si="3"/>
        <v>-4.9999989569187164E-3</v>
      </c>
      <c r="S7" s="9">
        <v>45757</v>
      </c>
      <c r="T7" s="2"/>
      <c r="U7" s="12">
        <v>3</v>
      </c>
      <c r="V7" s="15" t="s">
        <v>22</v>
      </c>
      <c r="X7" s="27" t="str">
        <f>+AM4</f>
        <v>Acopio utilzado</v>
      </c>
      <c r="Y7" s="27">
        <f>+AN4</f>
        <v>8636156.8818366397</v>
      </c>
    </row>
    <row r="8" spans="2:51" x14ac:dyDescent="0.25">
      <c r="B8" s="16" t="s">
        <v>28</v>
      </c>
      <c r="C8" s="5">
        <v>45748</v>
      </c>
      <c r="D8" s="2" t="s">
        <v>77</v>
      </c>
      <c r="E8" s="14">
        <v>45777</v>
      </c>
      <c r="F8" s="7">
        <v>7660122</v>
      </c>
      <c r="G8" s="68">
        <f t="shared" si="7"/>
        <v>1685226.84</v>
      </c>
      <c r="H8" s="68">
        <f t="shared" si="8"/>
        <v>9345348.8399999999</v>
      </c>
      <c r="I8" s="7"/>
      <c r="J8" s="7"/>
      <c r="K8" s="7"/>
      <c r="L8" s="7">
        <f t="shared" si="0"/>
        <v>383006.10000000003</v>
      </c>
      <c r="M8" s="68">
        <f t="shared" si="1"/>
        <v>191503.05000000002</v>
      </c>
      <c r="N8" s="7">
        <f t="shared" si="6"/>
        <v>7085612.8500000006</v>
      </c>
      <c r="O8" s="7"/>
      <c r="P8" s="68">
        <f t="shared" si="2"/>
        <v>7085612.8500000006</v>
      </c>
      <c r="Q8" s="7">
        <v>7085612.8500000006</v>
      </c>
      <c r="R8" s="7">
        <f t="shared" si="3"/>
        <v>0</v>
      </c>
      <c r="S8" s="9">
        <v>45796</v>
      </c>
      <c r="T8" s="2"/>
      <c r="U8" s="12">
        <v>4</v>
      </c>
      <c r="V8" s="15" t="s">
        <v>23</v>
      </c>
      <c r="X8" s="27" t="str">
        <f>+AR4</f>
        <v>Garantía retenida</v>
      </c>
      <c r="Y8" s="27">
        <f>+AS4</f>
        <v>13405320.506500002</v>
      </c>
    </row>
    <row r="9" spans="2:51" x14ac:dyDescent="0.25">
      <c r="B9" s="16">
        <v>6</v>
      </c>
      <c r="C9" s="5">
        <v>45778</v>
      </c>
      <c r="D9" s="2" t="s">
        <v>78</v>
      </c>
      <c r="E9" s="9">
        <v>45808</v>
      </c>
      <c r="F9" s="7">
        <v>13979077</v>
      </c>
      <c r="G9" s="68">
        <f t="shared" si="7"/>
        <v>3075396.94</v>
      </c>
      <c r="H9" s="68">
        <f t="shared" si="8"/>
        <v>17054473.940000001</v>
      </c>
      <c r="I9" s="7">
        <f t="shared" ref="I9:I23" si="9">+F9*2.1698%</f>
        <v>303318.01274599996</v>
      </c>
      <c r="J9" s="7"/>
      <c r="K9" s="7"/>
      <c r="L9" s="7">
        <f t="shared" si="0"/>
        <v>698953.85000000009</v>
      </c>
      <c r="M9" s="68">
        <f t="shared" si="1"/>
        <v>349476.92500000005</v>
      </c>
      <c r="N9" s="7">
        <f t="shared" si="6"/>
        <v>12627328.212253999</v>
      </c>
      <c r="O9" s="7"/>
      <c r="P9" s="68">
        <f t="shared" si="2"/>
        <v>12627328.212253999</v>
      </c>
      <c r="Q9" s="7">
        <v>12627328.210000001</v>
      </c>
      <c r="R9" s="7">
        <f t="shared" si="3"/>
        <v>2.2539980709552765E-3</v>
      </c>
      <c r="S9" s="9">
        <v>45835</v>
      </c>
      <c r="T9" s="2"/>
      <c r="U9" s="12">
        <v>5</v>
      </c>
      <c r="V9" s="15" t="s">
        <v>34</v>
      </c>
      <c r="X9" s="27" t="str">
        <f>+AX4</f>
        <v>Canje utilizado</v>
      </c>
      <c r="Y9" s="27">
        <f>+AY4</f>
        <v>6702660.253250001</v>
      </c>
    </row>
    <row r="10" spans="2:51" x14ac:dyDescent="0.25">
      <c r="B10" s="16">
        <v>7</v>
      </c>
      <c r="C10" s="5">
        <v>45809</v>
      </c>
      <c r="D10" s="2" t="s">
        <v>145</v>
      </c>
      <c r="E10" s="9">
        <v>45838</v>
      </c>
      <c r="F10" s="7">
        <v>14933843.48</v>
      </c>
      <c r="G10" s="68">
        <f t="shared" si="7"/>
        <v>3285445.5656000003</v>
      </c>
      <c r="H10" s="68">
        <f t="shared" si="8"/>
        <v>18219289.045600001</v>
      </c>
      <c r="I10" s="7">
        <f>+F10*2.1698%</f>
        <v>324034.53582903999</v>
      </c>
      <c r="J10" s="7"/>
      <c r="K10" s="7"/>
      <c r="L10" s="7">
        <f t="shared" ref="L10:L16" si="10">+F10*0.05</f>
        <v>746692.17400000012</v>
      </c>
      <c r="M10" s="68">
        <f t="shared" ref="M10:M17" si="11">+F10*0.025</f>
        <v>373346.08700000006</v>
      </c>
      <c r="N10" s="7">
        <f t="shared" si="6"/>
        <v>13489770.683170961</v>
      </c>
      <c r="O10" s="7">
        <v>11546</v>
      </c>
      <c r="P10" s="68">
        <f t="shared" ref="P10:P17" si="12">+F10-I10-J10-K10-L10-M10-O10</f>
        <v>13478224.683170961</v>
      </c>
      <c r="Q10" s="7">
        <v>13478225</v>
      </c>
      <c r="R10" s="7">
        <f t="shared" si="3"/>
        <v>-0.31682903878390789</v>
      </c>
      <c r="S10" s="9">
        <v>45859</v>
      </c>
      <c r="T10" s="2"/>
      <c r="U10" s="12">
        <v>6</v>
      </c>
      <c r="V10" s="15" t="s">
        <v>38</v>
      </c>
      <c r="X10" s="102" t="s">
        <v>248</v>
      </c>
      <c r="Y10" s="7">
        <f>+O25</f>
        <v>220082</v>
      </c>
    </row>
    <row r="11" spans="2:51" x14ac:dyDescent="0.25">
      <c r="B11" s="16">
        <v>8</v>
      </c>
      <c r="C11" s="5">
        <v>45839</v>
      </c>
      <c r="D11" s="2" t="s">
        <v>79</v>
      </c>
      <c r="E11" s="9">
        <v>45869</v>
      </c>
      <c r="F11" s="7">
        <v>15415139.08</v>
      </c>
      <c r="G11" s="68">
        <f t="shared" si="7"/>
        <v>3391330.5976</v>
      </c>
      <c r="H11" s="68">
        <f t="shared" si="8"/>
        <v>18806469.6776</v>
      </c>
      <c r="I11" s="7">
        <f t="shared" si="9"/>
        <v>334477.68775783997</v>
      </c>
      <c r="J11" s="7"/>
      <c r="K11" s="7"/>
      <c r="L11" s="7">
        <f t="shared" si="10"/>
        <v>770756.95400000003</v>
      </c>
      <c r="M11" s="68">
        <f t="shared" si="11"/>
        <v>385378.47700000001</v>
      </c>
      <c r="N11" s="7">
        <f t="shared" si="6"/>
        <v>13924525.96124216</v>
      </c>
      <c r="O11" s="7"/>
      <c r="P11" s="68">
        <f t="shared" si="12"/>
        <v>13924525.96124216</v>
      </c>
      <c r="Q11" s="30">
        <v>13924525.960000001</v>
      </c>
      <c r="R11" s="7">
        <f t="shared" ref="R11:R23" si="13">+P11-Q11</f>
        <v>1.2421589344739914E-3</v>
      </c>
      <c r="S11" s="9">
        <v>45896</v>
      </c>
      <c r="T11" s="2"/>
      <c r="U11" s="12">
        <v>7</v>
      </c>
      <c r="V11" s="15" t="s">
        <v>52</v>
      </c>
      <c r="X11" s="105" t="s">
        <v>7</v>
      </c>
      <c r="Y11" s="26">
        <f>+Y4-Y7-Y8-Y9-Y10</f>
        <v>239142190.48841333</v>
      </c>
      <c r="AA11" s="95"/>
    </row>
    <row r="12" spans="2:51" x14ac:dyDescent="0.25">
      <c r="B12" s="16">
        <v>9</v>
      </c>
      <c r="C12" s="5">
        <v>45870</v>
      </c>
      <c r="D12" s="2" t="s">
        <v>144</v>
      </c>
      <c r="E12" s="9">
        <v>45900</v>
      </c>
      <c r="F12" s="7">
        <v>21666296</v>
      </c>
      <c r="G12" s="68">
        <f t="shared" si="7"/>
        <v>4766585.12</v>
      </c>
      <c r="H12" s="68">
        <f t="shared" si="8"/>
        <v>26432881.120000001</v>
      </c>
      <c r="I12" s="7">
        <f t="shared" si="9"/>
        <v>470115.29060799995</v>
      </c>
      <c r="J12" s="7"/>
      <c r="K12" s="7"/>
      <c r="L12" s="7">
        <f t="shared" si="10"/>
        <v>1083314.8</v>
      </c>
      <c r="M12" s="68">
        <f t="shared" si="11"/>
        <v>541657.4</v>
      </c>
      <c r="N12" s="7">
        <f t="shared" si="6"/>
        <v>19571208.509392001</v>
      </c>
      <c r="O12" s="7">
        <v>28774</v>
      </c>
      <c r="P12" s="68">
        <f t="shared" si="12"/>
        <v>19542434.509392001</v>
      </c>
      <c r="Q12" s="7">
        <v>19542434.509392001</v>
      </c>
      <c r="R12" s="7">
        <f t="shared" si="13"/>
        <v>0</v>
      </c>
      <c r="S12" s="9">
        <v>45919</v>
      </c>
      <c r="T12" s="2"/>
      <c r="U12" s="12">
        <v>8</v>
      </c>
      <c r="V12" s="15" t="s">
        <v>61</v>
      </c>
      <c r="AA12" s="95"/>
    </row>
    <row r="13" spans="2:51" x14ac:dyDescent="0.25">
      <c r="B13" s="16">
        <v>10</v>
      </c>
      <c r="C13" s="5">
        <v>45901</v>
      </c>
      <c r="D13" s="2" t="s">
        <v>143</v>
      </c>
      <c r="E13" s="9">
        <v>45930</v>
      </c>
      <c r="F13" s="7">
        <v>20980633.370000001</v>
      </c>
      <c r="G13" s="68">
        <f>+F13*0.22</f>
        <v>4615739.3414000003</v>
      </c>
      <c r="H13" s="68">
        <f>+F13+G13</f>
        <v>25596372.711400002</v>
      </c>
      <c r="I13" s="7">
        <f>+F13*2.1698%</f>
        <v>455237.78286226001</v>
      </c>
      <c r="J13" s="7"/>
      <c r="K13" s="7"/>
      <c r="L13" s="7">
        <f t="shared" si="10"/>
        <v>1049031.6685000001</v>
      </c>
      <c r="M13" s="68">
        <f t="shared" si="11"/>
        <v>524515.83425000007</v>
      </c>
      <c r="N13" s="7">
        <f t="shared" si="6"/>
        <v>18951848.084387742</v>
      </c>
      <c r="O13" s="7">
        <v>14848</v>
      </c>
      <c r="P13" s="68">
        <f t="shared" si="12"/>
        <v>18937000.084387742</v>
      </c>
      <c r="Q13" s="7">
        <v>18937000.079999998</v>
      </c>
      <c r="R13" s="7">
        <f t="shared" si="13"/>
        <v>4.3877437710762024E-3</v>
      </c>
      <c r="S13" s="9">
        <v>45952</v>
      </c>
      <c r="T13" s="2" t="s">
        <v>107</v>
      </c>
      <c r="U13" s="12">
        <v>9</v>
      </c>
      <c r="V13" s="28" t="s">
        <v>106</v>
      </c>
      <c r="AA13" s="104"/>
    </row>
    <row r="14" spans="2:51" x14ac:dyDescent="0.25">
      <c r="B14" s="16">
        <v>11</v>
      </c>
      <c r="C14" s="5">
        <v>45931</v>
      </c>
      <c r="D14" s="2" t="s">
        <v>142</v>
      </c>
      <c r="E14" s="9">
        <v>45960</v>
      </c>
      <c r="F14" s="7">
        <v>24648219.16</v>
      </c>
      <c r="G14" s="68">
        <f>+F14*0.22</f>
        <v>5422608.2152000004</v>
      </c>
      <c r="H14" s="68">
        <f>+F14+G14</f>
        <v>30070827.3752</v>
      </c>
      <c r="I14" s="7">
        <f t="shared" si="9"/>
        <v>534817.05933367996</v>
      </c>
      <c r="J14" s="7">
        <f>+F14*2.063057%</f>
        <v>508506.81075572124</v>
      </c>
      <c r="K14" s="7"/>
      <c r="L14" s="7">
        <f t="shared" si="10"/>
        <v>1232410.9580000001</v>
      </c>
      <c r="M14" s="68">
        <f t="shared" si="11"/>
        <v>616205.47900000005</v>
      </c>
      <c r="N14" s="7">
        <f t="shared" si="6"/>
        <v>21756278.852910601</v>
      </c>
      <c r="O14" s="7">
        <v>18040</v>
      </c>
      <c r="P14" s="68">
        <f>+F14-I14-J14-K14-L14-M14-O14</f>
        <v>21738238.852910601</v>
      </c>
      <c r="Q14" s="7">
        <v>21738238.850000001</v>
      </c>
      <c r="R14" s="7">
        <f t="shared" si="13"/>
        <v>2.9105991125106812E-3</v>
      </c>
      <c r="S14" s="62">
        <v>45982</v>
      </c>
      <c r="T14" s="2" t="s">
        <v>122</v>
      </c>
      <c r="U14" s="12">
        <v>10</v>
      </c>
      <c r="V14" s="28" t="s">
        <v>123</v>
      </c>
      <c r="AA14" s="95"/>
    </row>
    <row r="15" spans="2:51" x14ac:dyDescent="0.25">
      <c r="B15" s="16">
        <v>11</v>
      </c>
      <c r="C15" s="5">
        <v>45931</v>
      </c>
      <c r="D15" s="2" t="s">
        <v>133</v>
      </c>
      <c r="E15" s="9">
        <v>45960</v>
      </c>
      <c r="F15" s="7"/>
      <c r="G15" s="68"/>
      <c r="H15" s="68"/>
      <c r="I15" s="7"/>
      <c r="J15" s="7">
        <v>-508507</v>
      </c>
      <c r="K15" s="7"/>
      <c r="L15" s="7"/>
      <c r="M15" s="68"/>
      <c r="N15" s="7">
        <f t="shared" si="6"/>
        <v>508507</v>
      </c>
      <c r="O15" s="7"/>
      <c r="P15" s="68">
        <f>+F15-I15-J15-K15-L15-M15-O15</f>
        <v>508507</v>
      </c>
      <c r="Q15" s="7">
        <f>+P15</f>
        <v>508507</v>
      </c>
      <c r="R15" s="7">
        <f t="shared" si="13"/>
        <v>0</v>
      </c>
      <c r="S15" s="63">
        <v>46010</v>
      </c>
      <c r="T15" s="2" t="s">
        <v>130</v>
      </c>
      <c r="U15" s="12">
        <v>10</v>
      </c>
      <c r="V15" s="28" t="s">
        <v>131</v>
      </c>
      <c r="AA15" s="95"/>
    </row>
    <row r="16" spans="2:51" x14ac:dyDescent="0.25">
      <c r="B16" s="16">
        <v>12</v>
      </c>
      <c r="C16" s="5">
        <v>45962</v>
      </c>
      <c r="D16" s="2" t="s">
        <v>141</v>
      </c>
      <c r="E16" s="9">
        <v>45991</v>
      </c>
      <c r="F16" s="7">
        <v>22369740</v>
      </c>
      <c r="G16" s="68">
        <f t="shared" ref="G16:G23" si="14">+F16*0.22</f>
        <v>4921342.8</v>
      </c>
      <c r="H16" s="68">
        <f t="shared" ref="H16:H23" si="15">+F16+G16</f>
        <v>27291082.800000001</v>
      </c>
      <c r="I16" s="7">
        <f t="shared" si="9"/>
        <v>485378.61851999996</v>
      </c>
      <c r="J16" s="7">
        <f>+F16*Acopios!$J$12</f>
        <v>499382.07575999998</v>
      </c>
      <c r="K16" s="7"/>
      <c r="L16" s="7">
        <f t="shared" si="10"/>
        <v>1118487</v>
      </c>
      <c r="M16" s="68">
        <f t="shared" si="11"/>
        <v>559243.5</v>
      </c>
      <c r="N16" s="7">
        <f t="shared" si="6"/>
        <v>19707248.805720001</v>
      </c>
      <c r="O16" s="7">
        <v>22155</v>
      </c>
      <c r="P16" s="68">
        <f t="shared" si="12"/>
        <v>19685093.805720001</v>
      </c>
      <c r="Q16" s="7">
        <f>+P16</f>
        <v>19685093.805720001</v>
      </c>
      <c r="R16" s="7">
        <f t="shared" si="13"/>
        <v>0</v>
      </c>
      <c r="S16" s="63">
        <v>46010</v>
      </c>
      <c r="T16" s="2" t="s">
        <v>132</v>
      </c>
      <c r="U16" s="12">
        <v>11</v>
      </c>
      <c r="V16" s="28" t="s">
        <v>131</v>
      </c>
    </row>
    <row r="17" spans="1:24" x14ac:dyDescent="0.25">
      <c r="B17" s="16">
        <v>13</v>
      </c>
      <c r="C17" s="5">
        <v>45992</v>
      </c>
      <c r="D17" s="2" t="s">
        <v>140</v>
      </c>
      <c r="E17" s="9">
        <v>46008</v>
      </c>
      <c r="F17" s="7">
        <v>17503240.649999999</v>
      </c>
      <c r="G17" s="68">
        <f t="shared" si="14"/>
        <v>3850712.9429999995</v>
      </c>
      <c r="H17" s="68">
        <f t="shared" si="15"/>
        <v>21353953.592999998</v>
      </c>
      <c r="I17" s="7">
        <f t="shared" si="9"/>
        <v>379785.31562369992</v>
      </c>
      <c r="J17" s="7">
        <f>+F17*Acopios!$J$12</f>
        <v>390742.34427059995</v>
      </c>
      <c r="K17" s="7"/>
      <c r="L17" s="7">
        <f t="shared" ref="L17:L23" si="16">+F17*0.05</f>
        <v>875162.03249999997</v>
      </c>
      <c r="M17" s="68">
        <f t="shared" si="11"/>
        <v>437581.01624999999</v>
      </c>
      <c r="N17" s="7">
        <f t="shared" si="6"/>
        <v>15419969.941355698</v>
      </c>
      <c r="O17" s="7">
        <v>21051</v>
      </c>
      <c r="P17" s="68">
        <f t="shared" si="12"/>
        <v>15398918.941355698</v>
      </c>
      <c r="Q17" s="7">
        <v>15398918.939999999</v>
      </c>
      <c r="R17" s="7">
        <f t="shared" si="13"/>
        <v>1.3556983321905136E-3</v>
      </c>
      <c r="S17" s="9">
        <v>46048</v>
      </c>
      <c r="T17" s="2" t="s">
        <v>134</v>
      </c>
      <c r="U17" s="12">
        <v>12</v>
      </c>
      <c r="V17" s="28" t="s">
        <v>135</v>
      </c>
    </row>
    <row r="18" spans="1:24" x14ac:dyDescent="0.25">
      <c r="B18" s="16">
        <v>14</v>
      </c>
      <c r="C18" s="5">
        <v>46023</v>
      </c>
      <c r="D18" s="2" t="s">
        <v>155</v>
      </c>
      <c r="E18" s="9">
        <v>46053</v>
      </c>
      <c r="F18" s="7">
        <v>11909307</v>
      </c>
      <c r="G18" s="68">
        <f t="shared" si="14"/>
        <v>2620047.54</v>
      </c>
      <c r="H18" s="68">
        <f t="shared" si="15"/>
        <v>14529354.539999999</v>
      </c>
      <c r="I18" s="7">
        <f t="shared" si="9"/>
        <v>258408.14328599998</v>
      </c>
      <c r="J18" s="7">
        <f>+F18*Acopios!$J$12</f>
        <v>265863.36946800002</v>
      </c>
      <c r="K18" s="7"/>
      <c r="L18" s="7">
        <f t="shared" si="16"/>
        <v>595465.35</v>
      </c>
      <c r="M18" s="68">
        <f t="shared" ref="M18:M23" si="17">+F18*0.025</f>
        <v>297732.67499999999</v>
      </c>
      <c r="N18" s="7">
        <f t="shared" si="6"/>
        <v>10491837.462246001</v>
      </c>
      <c r="O18" s="7">
        <v>14772</v>
      </c>
      <c r="P18" s="68">
        <f t="shared" ref="P18:P23" si="18">+F18-I18-J18-K18-L18-M18-O18</f>
        <v>10477065.462246001</v>
      </c>
      <c r="Q18" s="7">
        <f>+P18</f>
        <v>10477065.462246001</v>
      </c>
      <c r="R18" s="7">
        <f t="shared" si="13"/>
        <v>0</v>
      </c>
      <c r="S18" s="9">
        <v>46066</v>
      </c>
      <c r="T18" s="2" t="s">
        <v>154</v>
      </c>
      <c r="U18" s="12">
        <v>13</v>
      </c>
      <c r="V18" s="28" t="s">
        <v>150</v>
      </c>
    </row>
    <row r="19" spans="1:24" x14ac:dyDescent="0.25">
      <c r="B19" s="16">
        <v>15</v>
      </c>
      <c r="C19" s="5">
        <v>46054</v>
      </c>
      <c r="D19" s="66" t="s">
        <v>162</v>
      </c>
      <c r="E19" s="9">
        <v>46081</v>
      </c>
      <c r="F19" s="7">
        <v>12424849</v>
      </c>
      <c r="G19" s="68">
        <f t="shared" si="14"/>
        <v>2733466.78</v>
      </c>
      <c r="H19" s="68">
        <f t="shared" si="15"/>
        <v>15158315.779999999</v>
      </c>
      <c r="I19" s="7">
        <f t="shared" si="9"/>
        <v>269594.37360200001</v>
      </c>
      <c r="J19" s="7">
        <f>+F19*Acopios!$J$12</f>
        <v>277372.32907600002</v>
      </c>
      <c r="K19" s="7"/>
      <c r="L19" s="7">
        <f t="shared" si="16"/>
        <v>621242.45000000007</v>
      </c>
      <c r="M19" s="68">
        <f t="shared" si="17"/>
        <v>310621.22500000003</v>
      </c>
      <c r="N19" s="148">
        <f t="shared" si="6"/>
        <v>10946018.622322002</v>
      </c>
      <c r="O19" s="7">
        <v>14060</v>
      </c>
      <c r="P19" s="68">
        <f t="shared" si="18"/>
        <v>10931958.622322002</v>
      </c>
      <c r="Q19" s="7">
        <f>+P19</f>
        <v>10931958.622322002</v>
      </c>
      <c r="R19" s="7">
        <f t="shared" si="13"/>
        <v>0</v>
      </c>
      <c r="S19" s="9">
        <v>46101</v>
      </c>
      <c r="T19" s="2" t="s">
        <v>160</v>
      </c>
      <c r="U19" s="12">
        <v>14</v>
      </c>
      <c r="V19" s="28" t="s">
        <v>156</v>
      </c>
    </row>
    <row r="20" spans="1:24" x14ac:dyDescent="0.25">
      <c r="B20" s="16">
        <v>16</v>
      </c>
      <c r="C20" s="5">
        <v>46082</v>
      </c>
      <c r="D20" s="66" t="s">
        <v>184</v>
      </c>
      <c r="E20" s="9">
        <v>46112</v>
      </c>
      <c r="F20" s="7">
        <v>14998516.57</v>
      </c>
      <c r="G20" s="68">
        <f t="shared" si="14"/>
        <v>3299673.6454000003</v>
      </c>
      <c r="H20" s="68">
        <f t="shared" si="15"/>
        <v>18298190.215399999</v>
      </c>
      <c r="I20" s="7">
        <f t="shared" si="9"/>
        <v>325437.81253585999</v>
      </c>
      <c r="J20" s="7">
        <f>+F20*Acopios!$J$12</f>
        <v>334826.88390868</v>
      </c>
      <c r="K20" s="7">
        <f>+F20*Acopios!J17</f>
        <v>425927.87355486001</v>
      </c>
      <c r="L20" s="7">
        <f t="shared" si="16"/>
        <v>749925.82850000006</v>
      </c>
      <c r="M20" s="68">
        <f t="shared" si="17"/>
        <v>374962.91425000003</v>
      </c>
      <c r="N20" s="148">
        <f t="shared" si="6"/>
        <v>12787435.257250601</v>
      </c>
      <c r="O20" s="7">
        <v>17553</v>
      </c>
      <c r="P20" s="68">
        <f t="shared" si="18"/>
        <v>12769882.257250601</v>
      </c>
      <c r="Q20" s="7">
        <v>12769882.26</v>
      </c>
      <c r="R20" s="7">
        <f t="shared" si="13"/>
        <v>-2.7493983507156372E-3</v>
      </c>
      <c r="S20" s="9">
        <v>46147</v>
      </c>
      <c r="T20" s="2" t="s">
        <v>170</v>
      </c>
      <c r="U20" s="12">
        <v>15</v>
      </c>
      <c r="V20" s="28" t="s">
        <v>169</v>
      </c>
    </row>
    <row r="21" spans="1:24" x14ac:dyDescent="0.25">
      <c r="B21" s="16">
        <v>17</v>
      </c>
      <c r="C21" s="5">
        <v>46113</v>
      </c>
      <c r="D21" s="66" t="s">
        <v>203</v>
      </c>
      <c r="E21" s="9">
        <v>46142</v>
      </c>
      <c r="F21" s="7">
        <v>12295338.26</v>
      </c>
      <c r="G21" s="68">
        <f t="shared" si="14"/>
        <v>2704974.4172</v>
      </c>
      <c r="H21" s="68">
        <f t="shared" si="15"/>
        <v>15000312.677200001</v>
      </c>
      <c r="I21" s="7">
        <f t="shared" si="9"/>
        <v>266784.24956547999</v>
      </c>
      <c r="J21" s="68">
        <f>+F21*Acopios!$J$12</f>
        <v>274481.13131624</v>
      </c>
      <c r="K21" s="68">
        <f>+F21*Acopios!$J$17</f>
        <v>349163.01590747997</v>
      </c>
      <c r="L21" s="7">
        <f t="shared" si="16"/>
        <v>614766.91300000006</v>
      </c>
      <c r="M21" s="68">
        <f t="shared" si="17"/>
        <v>307383.45650000003</v>
      </c>
      <c r="N21" s="148">
        <f t="shared" si="6"/>
        <v>10482759.493710799</v>
      </c>
      <c r="O21" s="7">
        <v>19349</v>
      </c>
      <c r="P21" s="68">
        <f t="shared" si="18"/>
        <v>10463410.493710799</v>
      </c>
      <c r="Q21" s="7">
        <v>10463410.49</v>
      </c>
      <c r="R21" s="7">
        <f t="shared" si="13"/>
        <v>3.7107989192008972E-3</v>
      </c>
      <c r="S21" s="9">
        <v>46163</v>
      </c>
      <c r="T21" s="2" t="s">
        <v>205</v>
      </c>
      <c r="U21" s="12">
        <v>16</v>
      </c>
      <c r="V21" s="28" t="s">
        <v>204</v>
      </c>
    </row>
    <row r="22" spans="1:24" x14ac:dyDescent="0.25">
      <c r="B22" s="16">
        <v>18</v>
      </c>
      <c r="C22" s="5">
        <v>46143</v>
      </c>
      <c r="D22" s="66" t="s">
        <v>220</v>
      </c>
      <c r="E22" s="9">
        <v>46173</v>
      </c>
      <c r="F22" s="7">
        <v>14976846.560000001</v>
      </c>
      <c r="G22" s="68">
        <f>+F22*0.22</f>
        <v>3294906.2431999999</v>
      </c>
      <c r="H22" s="68">
        <f t="shared" si="15"/>
        <v>18271752.803199999</v>
      </c>
      <c r="I22" s="7">
        <f t="shared" si="9"/>
        <v>324967.61665887997</v>
      </c>
      <c r="J22" s="7">
        <f>+F22*Acopios!$J$12</f>
        <v>334343.12260544003</v>
      </c>
      <c r="K22" s="7">
        <f>+F22*Acopios!$J$17</f>
        <v>425312.48861087998</v>
      </c>
      <c r="L22" s="7">
        <f t="shared" si="16"/>
        <v>748842.3280000001</v>
      </c>
      <c r="M22" s="68">
        <f t="shared" si="17"/>
        <v>374421.16400000005</v>
      </c>
      <c r="N22" s="148">
        <f t="shared" si="6"/>
        <v>12768959.840124801</v>
      </c>
      <c r="O22" s="7">
        <v>17952</v>
      </c>
      <c r="P22" s="68">
        <f t="shared" si="18"/>
        <v>12751007.840124801</v>
      </c>
      <c r="Q22" s="7">
        <f>+P22</f>
        <v>12751007.840124801</v>
      </c>
      <c r="R22" s="7">
        <f t="shared" si="13"/>
        <v>0</v>
      </c>
      <c r="S22" s="9">
        <v>46198</v>
      </c>
      <c r="T22" s="2" t="s">
        <v>222</v>
      </c>
      <c r="U22" s="12">
        <v>17</v>
      </c>
      <c r="V22" s="28" t="s">
        <v>221</v>
      </c>
    </row>
    <row r="23" spans="1:24" x14ac:dyDescent="0.25">
      <c r="B23" s="16">
        <v>19</v>
      </c>
      <c r="C23" s="5">
        <v>46174</v>
      </c>
      <c r="D23" s="66" t="s">
        <v>343</v>
      </c>
      <c r="E23" s="9">
        <v>46203</v>
      </c>
      <c r="F23" s="7">
        <v>15042213</v>
      </c>
      <c r="G23" s="68">
        <f t="shared" si="14"/>
        <v>3309286.86</v>
      </c>
      <c r="H23" s="68">
        <f t="shared" si="15"/>
        <v>18351499.859999999</v>
      </c>
      <c r="I23" s="7">
        <f t="shared" si="9"/>
        <v>326385.93767399999</v>
      </c>
      <c r="J23" s="7">
        <f>+F23*Acopios!$J$12</f>
        <v>335802.36301199999</v>
      </c>
      <c r="K23" s="7">
        <f>+F23*Acopios!$J$17</f>
        <v>427168.76477399998</v>
      </c>
      <c r="L23" s="7">
        <f t="shared" si="16"/>
        <v>752110.65</v>
      </c>
      <c r="M23" s="68">
        <f t="shared" si="17"/>
        <v>376055.32500000001</v>
      </c>
      <c r="N23" s="148">
        <f>+F23-I23-J23-K23-L23-M23</f>
        <v>12824689.959539998</v>
      </c>
      <c r="O23" s="7">
        <v>19982</v>
      </c>
      <c r="P23" s="68">
        <f t="shared" si="18"/>
        <v>12804707.959539998</v>
      </c>
      <c r="Q23" s="7">
        <f>+P23</f>
        <v>12804707.959539998</v>
      </c>
      <c r="R23" s="7">
        <f t="shared" si="13"/>
        <v>0</v>
      </c>
      <c r="S23" s="9">
        <v>46225</v>
      </c>
      <c r="T23" s="2" t="s">
        <v>309</v>
      </c>
      <c r="U23" s="12">
        <v>18</v>
      </c>
      <c r="V23" s="28" t="s">
        <v>310</v>
      </c>
    </row>
    <row r="24" spans="1:24" x14ac:dyDescent="0.25">
      <c r="B24" s="77"/>
      <c r="C24" s="78"/>
      <c r="E24" s="74"/>
      <c r="F24" s="10"/>
      <c r="G24" s="11"/>
      <c r="H24" s="11"/>
      <c r="I24" s="10"/>
      <c r="J24" s="10"/>
      <c r="K24" s="10"/>
      <c r="L24" s="10"/>
      <c r="M24" s="11"/>
      <c r="N24" s="10"/>
      <c r="O24" s="10"/>
      <c r="P24" s="11"/>
      <c r="Q24" s="10"/>
      <c r="R24" s="10"/>
      <c r="S24" s="74"/>
      <c r="V24" s="79"/>
    </row>
    <row r="25" spans="1:24" x14ac:dyDescent="0.25">
      <c r="F25" s="20">
        <f>SUM(F4:F23)</f>
        <v>268106410.13</v>
      </c>
      <c r="G25" s="20">
        <f>SUM(G4:G23)</f>
        <v>58983410.228599995</v>
      </c>
      <c r="H25" s="20">
        <f>SUM(H4:H23)</f>
        <v>327089820.35860002</v>
      </c>
      <c r="I25" s="20">
        <f>SUM(I4:I23)</f>
        <v>5058742.4366027396</v>
      </c>
      <c r="J25" s="20">
        <f>SUM(J4:J22)</f>
        <v>2377011.0671606814</v>
      </c>
      <c r="K25" s="20">
        <f t="shared" ref="K25:Q25" si="19">SUM(K4:K22)</f>
        <v>1200403.3780732199</v>
      </c>
      <c r="L25" s="20">
        <f>SUM(L4:L23)</f>
        <v>13405320.506500002</v>
      </c>
      <c r="M25" s="20">
        <f>SUM(M4:M23)</f>
        <v>6702660.253250001</v>
      </c>
      <c r="N25" s="20">
        <f>SUM(N4:N23)</f>
        <v>238599301.36062735</v>
      </c>
      <c r="O25" s="20">
        <f>SUM(O4:O23)</f>
        <v>220082</v>
      </c>
      <c r="P25" s="20">
        <f>SUM(P4:P23)</f>
        <v>238379219.36062735</v>
      </c>
      <c r="Q25" s="20">
        <f t="shared" si="19"/>
        <v>225574511.82980478</v>
      </c>
      <c r="S25" s="1"/>
    </row>
    <row r="26" spans="1:24" x14ac:dyDescent="0.25">
      <c r="S26" s="1"/>
    </row>
    <row r="27" spans="1:24" x14ac:dyDescent="0.25">
      <c r="S27" s="1"/>
    </row>
    <row r="28" spans="1:24" x14ac:dyDescent="0.25">
      <c r="S28" s="1"/>
    </row>
    <row r="29" spans="1:24" x14ac:dyDescent="0.25">
      <c r="F29" s="1"/>
      <c r="M29" s="10"/>
      <c r="N29" s="10"/>
      <c r="O29" s="10"/>
      <c r="P29" s="10"/>
      <c r="S29" s="1"/>
      <c r="V29" s="11"/>
      <c r="W29" s="11"/>
      <c r="X29" s="10"/>
    </row>
    <row r="30" spans="1:24" x14ac:dyDescent="0.25">
      <c r="F30" s="1"/>
    </row>
    <row r="31" spans="1:24" x14ac:dyDescent="0.25">
      <c r="A31" s="8"/>
      <c r="B31" s="8"/>
      <c r="C31" s="8"/>
      <c r="D31" s="8"/>
      <c r="F31" s="1"/>
      <c r="M31" s="11"/>
      <c r="N31" s="10"/>
      <c r="O31" s="11"/>
      <c r="S31" s="1"/>
    </row>
    <row r="32" spans="1:24" x14ac:dyDescent="0.25">
      <c r="A32" s="8"/>
      <c r="B32" s="8"/>
      <c r="C32" s="8"/>
      <c r="D32" s="8"/>
      <c r="F32" s="1"/>
      <c r="M32" s="11"/>
      <c r="N32" s="10"/>
      <c r="O32" s="11"/>
      <c r="P32" s="10"/>
      <c r="S32" s="1"/>
    </row>
    <row r="33" spans="1:19" x14ac:dyDescent="0.25">
      <c r="A33" s="8"/>
      <c r="D33" s="8"/>
      <c r="F33" s="1"/>
      <c r="M33" s="10"/>
      <c r="N33" s="10"/>
      <c r="O33" s="10"/>
      <c r="S33" s="1"/>
    </row>
    <row r="34" spans="1:19" x14ac:dyDescent="0.25">
      <c r="A34" s="8"/>
      <c r="D34" s="8"/>
      <c r="F34" s="1"/>
      <c r="M34" s="10"/>
      <c r="N34" s="10"/>
      <c r="O34" s="10"/>
      <c r="S34" s="1"/>
    </row>
    <row r="35" spans="1:19" x14ac:dyDescent="0.25">
      <c r="A35" s="8"/>
      <c r="D35" s="8"/>
      <c r="F35" s="1"/>
      <c r="M35" s="10"/>
      <c r="N35" s="10"/>
      <c r="O35" s="10"/>
      <c r="S35" s="1"/>
    </row>
    <row r="36" spans="1:19" x14ac:dyDescent="0.25">
      <c r="A36" s="8"/>
      <c r="D36" s="8"/>
      <c r="F36" s="1"/>
      <c r="M36" s="10"/>
      <c r="N36" s="10"/>
      <c r="O36" s="10"/>
      <c r="S36" s="1"/>
    </row>
    <row r="37" spans="1:19" x14ac:dyDescent="0.25">
      <c r="A37" s="8"/>
      <c r="D37" s="8"/>
      <c r="F37" s="1"/>
      <c r="M37" s="10"/>
      <c r="N37" s="10"/>
      <c r="O37" s="10"/>
      <c r="S37" s="1"/>
    </row>
    <row r="38" spans="1:19" x14ac:dyDescent="0.25">
      <c r="A38" s="8"/>
      <c r="D38"/>
      <c r="M38" s="10"/>
      <c r="N38" s="10"/>
      <c r="O38" s="10"/>
      <c r="P38" s="10"/>
      <c r="S38" s="1"/>
    </row>
    <row r="39" spans="1:19" x14ac:dyDescent="0.25">
      <c r="A39" s="8"/>
      <c r="M39" s="10"/>
      <c r="N39" s="10"/>
      <c r="O39" s="10"/>
      <c r="P39" s="10"/>
      <c r="S39" s="1"/>
    </row>
    <row r="40" spans="1:19" x14ac:dyDescent="0.25">
      <c r="A40" s="8"/>
      <c r="D40" s="8"/>
      <c r="M40" s="10"/>
      <c r="N40" s="10"/>
      <c r="O40" s="10"/>
      <c r="P40" s="10"/>
      <c r="S40" s="1"/>
    </row>
    <row r="41" spans="1:19" x14ac:dyDescent="0.25">
      <c r="A41" s="8"/>
      <c r="D41" s="8"/>
      <c r="M41" s="10"/>
      <c r="N41" s="10"/>
      <c r="O41" s="10"/>
      <c r="P41" s="10"/>
      <c r="S41" s="1"/>
    </row>
    <row r="42" spans="1:19" x14ac:dyDescent="0.25">
      <c r="A42" s="8"/>
      <c r="D42" s="8"/>
      <c r="M42" s="10"/>
      <c r="N42" s="10"/>
      <c r="O42" s="10"/>
      <c r="P42" s="136"/>
      <c r="S42" s="1"/>
    </row>
    <row r="43" spans="1:19" x14ac:dyDescent="0.25">
      <c r="A43" s="8"/>
      <c r="B43" s="8"/>
      <c r="C43" s="8"/>
      <c r="D43" s="8"/>
      <c r="M43" s="10"/>
      <c r="N43" s="10"/>
      <c r="O43" s="10"/>
      <c r="P43" s="10"/>
      <c r="S43" s="1"/>
    </row>
    <row r="44" spans="1:19" x14ac:dyDescent="0.25">
      <c r="A44" s="8"/>
      <c r="B44" s="8"/>
      <c r="C44" s="8"/>
      <c r="D44" s="8"/>
      <c r="M44" s="10"/>
      <c r="N44" s="10"/>
      <c r="O44" s="10"/>
      <c r="P44" s="10"/>
      <c r="S44" s="1"/>
    </row>
    <row r="45" spans="1:19" x14ac:dyDescent="0.25">
      <c r="A45" s="8"/>
      <c r="B45" s="8"/>
      <c r="C45" s="8"/>
      <c r="D45" s="8"/>
      <c r="M45" s="10"/>
      <c r="N45" s="10"/>
      <c r="O45" s="10"/>
      <c r="P45" s="10"/>
    </row>
    <row r="46" spans="1:19" x14ac:dyDescent="0.25">
      <c r="A46" s="8"/>
      <c r="B46" s="8"/>
      <c r="C46" s="8"/>
      <c r="D46" s="8"/>
      <c r="M46" s="10"/>
      <c r="N46" s="10"/>
      <c r="O46" s="10"/>
      <c r="P46" s="10"/>
    </row>
    <row r="47" spans="1:19" x14ac:dyDescent="0.25">
      <c r="A47" s="8"/>
      <c r="B47" s="8"/>
      <c r="C47" s="8"/>
      <c r="D47" s="8"/>
      <c r="M47" s="10"/>
      <c r="N47" s="10"/>
      <c r="O47" s="10"/>
      <c r="P47" s="10"/>
    </row>
    <row r="48" spans="1:19" x14ac:dyDescent="0.25">
      <c r="A48" s="8"/>
      <c r="B48" s="8"/>
      <c r="C48" s="8"/>
      <c r="D48" s="8"/>
      <c r="M48" s="10"/>
      <c r="N48" s="10"/>
      <c r="O48" s="10"/>
      <c r="P48" s="10"/>
    </row>
    <row r="49" spans="1:16" x14ac:dyDescent="0.25">
      <c r="A49" s="8"/>
      <c r="B49" s="8"/>
      <c r="C49" s="8"/>
      <c r="D49" s="8"/>
      <c r="M49" s="10"/>
      <c r="N49" s="10"/>
      <c r="O49" s="10"/>
      <c r="P49" s="10"/>
    </row>
    <row r="50" spans="1:16" x14ac:dyDescent="0.25">
      <c r="A50" s="8"/>
      <c r="B50" s="8"/>
      <c r="C50" s="8"/>
      <c r="D50" s="8"/>
      <c r="M50" s="10"/>
      <c r="N50" s="10"/>
      <c r="O50" s="10"/>
      <c r="P50" s="10"/>
    </row>
    <row r="51" spans="1:16" x14ac:dyDescent="0.25">
      <c r="A51" s="8"/>
      <c r="B51" s="8"/>
      <c r="C51" s="8"/>
      <c r="D51" s="8"/>
      <c r="M51" s="10"/>
      <c r="N51" s="10"/>
      <c r="O51" s="10"/>
      <c r="P51" s="10"/>
    </row>
    <row r="52" spans="1:16" x14ac:dyDescent="0.25">
      <c r="A52" s="8"/>
      <c r="B52" s="8"/>
      <c r="C52" s="8"/>
      <c r="D52" s="8"/>
      <c r="M52" s="10"/>
      <c r="N52" s="10"/>
      <c r="O52" s="10"/>
      <c r="P52" s="10"/>
    </row>
    <row r="53" spans="1:16" x14ac:dyDescent="0.25">
      <c r="A53" s="8"/>
      <c r="B53" s="8"/>
      <c r="C53" s="8"/>
      <c r="D53" s="8"/>
      <c r="M53" s="10"/>
      <c r="N53" s="10"/>
      <c r="O53" s="10"/>
      <c r="P53" s="10"/>
    </row>
    <row r="54" spans="1:16" x14ac:dyDescent="0.25">
      <c r="A54" s="8"/>
      <c r="B54" s="8"/>
      <c r="C54" s="8"/>
      <c r="D54" s="8"/>
      <c r="M54" s="10"/>
      <c r="N54" s="10"/>
      <c r="O54" s="10"/>
      <c r="P54" s="10"/>
    </row>
    <row r="55" spans="1:16" x14ac:dyDescent="0.25">
      <c r="M55" s="10"/>
      <c r="N55" s="10"/>
      <c r="O55" s="10"/>
      <c r="P55" s="10"/>
    </row>
    <row r="56" spans="1:16" x14ac:dyDescent="0.25">
      <c r="M56" s="10"/>
      <c r="N56" s="10"/>
      <c r="O56" s="10"/>
      <c r="P56" s="10"/>
    </row>
    <row r="57" spans="1:16" x14ac:dyDescent="0.25">
      <c r="M57" s="10"/>
      <c r="N57" s="10"/>
      <c r="O57" s="10"/>
      <c r="P57" s="10"/>
    </row>
    <row r="58" spans="1:16" x14ac:dyDescent="0.25">
      <c r="M58" s="10"/>
      <c r="N58" s="10"/>
      <c r="O58" s="10"/>
      <c r="P58" s="10"/>
    </row>
    <row r="59" spans="1:16" x14ac:dyDescent="0.25">
      <c r="M59" s="10"/>
      <c r="N59" s="10"/>
      <c r="O59" s="10"/>
      <c r="P59" s="10"/>
    </row>
    <row r="60" spans="1:16" x14ac:dyDescent="0.25">
      <c r="M60" s="10"/>
      <c r="N60" s="10"/>
      <c r="O60" s="10"/>
      <c r="P60" s="10"/>
    </row>
    <row r="61" spans="1:16" x14ac:dyDescent="0.25">
      <c r="M61" s="10"/>
      <c r="N61" s="10"/>
      <c r="O61" s="10"/>
      <c r="P61" s="10"/>
    </row>
    <row r="62" spans="1:16" x14ac:dyDescent="0.25">
      <c r="M62" s="10"/>
      <c r="N62" s="10"/>
      <c r="O62" s="10"/>
      <c r="P62" s="10"/>
    </row>
    <row r="63" spans="1:16" x14ac:dyDescent="0.25">
      <c r="M63" s="10"/>
      <c r="N63" s="10"/>
      <c r="O63" s="10"/>
      <c r="P63" s="10"/>
    </row>
    <row r="64" spans="1:16" x14ac:dyDescent="0.25">
      <c r="M64" s="10"/>
      <c r="N64" s="10"/>
      <c r="O64" s="10"/>
      <c r="P64" s="10"/>
    </row>
    <row r="65" spans="13:16" x14ac:dyDescent="0.25">
      <c r="M65" s="10"/>
      <c r="N65" s="10"/>
      <c r="O65" s="10"/>
      <c r="P65" s="10"/>
    </row>
    <row r="66" spans="13:16" x14ac:dyDescent="0.25">
      <c r="M66" s="10"/>
      <c r="N66" s="10"/>
      <c r="O66" s="10"/>
      <c r="P66" s="10"/>
    </row>
    <row r="67" spans="13:16" x14ac:dyDescent="0.25">
      <c r="M67" s="10"/>
      <c r="N67" s="10"/>
      <c r="O67" s="10"/>
      <c r="P67" s="10"/>
    </row>
    <row r="68" spans="13:16" x14ac:dyDescent="0.25">
      <c r="M68" s="10"/>
      <c r="N68" s="10"/>
      <c r="O68" s="10"/>
      <c r="P68" s="10"/>
    </row>
    <row r="69" spans="13:16" x14ac:dyDescent="0.25">
      <c r="M69" s="10"/>
      <c r="N69" s="10"/>
      <c r="O69" s="10"/>
      <c r="P69" s="10"/>
    </row>
    <row r="70" spans="13:16" x14ac:dyDescent="0.25">
      <c r="M70" s="10"/>
      <c r="N70" s="10"/>
      <c r="O70" s="10"/>
      <c r="P70" s="10"/>
    </row>
    <row r="71" spans="13:16" x14ac:dyDescent="0.25">
      <c r="M71" s="10"/>
      <c r="N71" s="10"/>
      <c r="O71" s="10"/>
      <c r="P71" s="10"/>
    </row>
    <row r="72" spans="13:16" x14ac:dyDescent="0.25">
      <c r="M72" s="10"/>
      <c r="N72" s="10"/>
      <c r="O72" s="10"/>
      <c r="P72" s="10"/>
    </row>
    <row r="73" spans="13:16" x14ac:dyDescent="0.25">
      <c r="M73" s="10"/>
      <c r="N73" s="10"/>
      <c r="O73" s="10"/>
      <c r="P73" s="10"/>
    </row>
    <row r="74" spans="13:16" x14ac:dyDescent="0.25">
      <c r="M74" s="10"/>
      <c r="N74" s="10"/>
      <c r="O74" s="10"/>
      <c r="P74" s="10"/>
    </row>
    <row r="75" spans="13:16" x14ac:dyDescent="0.25">
      <c r="M75" s="10"/>
      <c r="N75" s="10"/>
      <c r="O75" s="10"/>
      <c r="P75" s="10"/>
    </row>
    <row r="76" spans="13:16" x14ac:dyDescent="0.25">
      <c r="M76" s="10"/>
      <c r="N76" s="10"/>
      <c r="O76" s="10"/>
      <c r="P76" s="10"/>
    </row>
    <row r="77" spans="13:16" x14ac:dyDescent="0.25">
      <c r="M77" s="10"/>
      <c r="N77" s="10"/>
      <c r="O77" s="10"/>
      <c r="P77" s="10"/>
    </row>
    <row r="78" spans="13:16" x14ac:dyDescent="0.25">
      <c r="M78" s="10"/>
      <c r="N78" s="10"/>
      <c r="O78" s="10"/>
      <c r="P78" s="10"/>
    </row>
    <row r="79" spans="13:16" x14ac:dyDescent="0.25">
      <c r="M79" s="10"/>
      <c r="N79" s="10"/>
      <c r="O79" s="10"/>
      <c r="P79" s="10"/>
    </row>
    <row r="80" spans="13:16" x14ac:dyDescent="0.25">
      <c r="M80" s="10"/>
      <c r="N80" s="10"/>
      <c r="O80" s="10"/>
      <c r="P80" s="10"/>
    </row>
    <row r="81" spans="13:16" x14ac:dyDescent="0.25">
      <c r="M81" s="10"/>
      <c r="N81" s="10"/>
      <c r="O81" s="10"/>
      <c r="P81" s="10"/>
    </row>
    <row r="82" spans="13:16" x14ac:dyDescent="0.25">
      <c r="M82" s="10"/>
      <c r="N82" s="10"/>
      <c r="O82" s="10"/>
      <c r="P82" s="10"/>
    </row>
    <row r="83" spans="13:16" x14ac:dyDescent="0.25">
      <c r="M83" s="10"/>
      <c r="N83" s="10"/>
      <c r="O83" s="10"/>
      <c r="P83" s="10"/>
    </row>
    <row r="84" spans="13:16" x14ac:dyDescent="0.25">
      <c r="M84" s="10"/>
      <c r="N84" s="10"/>
      <c r="O84" s="10"/>
      <c r="P84" s="10"/>
    </row>
    <row r="89" spans="13:16" x14ac:dyDescent="0.25">
      <c r="M89" s="8">
        <v>58001</v>
      </c>
    </row>
    <row r="90" spans="13:16" x14ac:dyDescent="0.25">
      <c r="M90" s="8">
        <v>375823</v>
      </c>
    </row>
    <row r="91" spans="13:16" x14ac:dyDescent="0.25">
      <c r="M91" s="8">
        <v>1525603</v>
      </c>
    </row>
    <row r="92" spans="13:16" x14ac:dyDescent="0.25">
      <c r="M92" s="8">
        <f>SUM(M89:M91)</f>
        <v>1959427</v>
      </c>
    </row>
  </sheetData>
  <mergeCells count="6">
    <mergeCell ref="AX2:AY2"/>
    <mergeCell ref="AB2:AC2"/>
    <mergeCell ref="X3:Y3"/>
    <mergeCell ref="AG2:AH2"/>
    <mergeCell ref="AM2:AN2"/>
    <mergeCell ref="AR2:AS2"/>
  </mergeCells>
  <phoneticPr fontId="3" type="noConversion"/>
  <pageMargins left="0.7" right="0.7" top="0.75" bottom="0.75" header="0.3" footer="0.3"/>
  <pageSetup paperSize="9" scale="29" orientation="landscape" r:id="rId1"/>
  <ignoredErrors>
    <ignoredError sqref="V4:V8 V10:V14 V17:V20 V21:V22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DA10-016C-4EA2-A4F0-00CD415A9CC5}">
  <sheetPr codeName="Hoja4">
    <tabColor theme="9" tint="0.79998168889431442"/>
  </sheetPr>
  <dimension ref="B1:AW28"/>
  <sheetViews>
    <sheetView zoomScale="90" zoomScaleNormal="90" workbookViewId="0">
      <selection activeCell="Q9" sqref="Q9"/>
    </sheetView>
  </sheetViews>
  <sheetFormatPr baseColWidth="10" defaultColWidth="11.42578125" defaultRowHeight="15" x14ac:dyDescent="0.25"/>
  <cols>
    <col min="1" max="1" width="8.28515625" style="1" customWidth="1"/>
    <col min="2" max="2" width="17" style="1" bestFit="1" customWidth="1"/>
    <col min="3" max="3" width="11.7109375" style="1" customWidth="1"/>
    <col min="4" max="4" width="7.7109375" style="1" bestFit="1" customWidth="1"/>
    <col min="5" max="5" width="13" style="1" bestFit="1" customWidth="1"/>
    <col min="6" max="6" width="13.42578125" style="8" bestFit="1" customWidth="1"/>
    <col min="7" max="7" width="8.85546875" style="8" customWidth="1"/>
    <col min="8" max="11" width="11.5703125" style="8" customWidth="1"/>
    <col min="12" max="12" width="33.7109375" style="8" bestFit="1" customWidth="1"/>
    <col min="13" max="13" width="43.5703125" style="8" bestFit="1" customWidth="1"/>
    <col min="14" max="14" width="13.42578125" style="8" bestFit="1" customWidth="1"/>
    <col min="15" max="17" width="11.42578125" style="8"/>
    <col min="18" max="21" width="11.42578125" style="1"/>
    <col min="22" max="22" width="22.85546875" style="1" bestFit="1" customWidth="1"/>
    <col min="23" max="23" width="18.28515625" style="1" customWidth="1"/>
    <col min="24" max="24" width="13.42578125" style="1" bestFit="1" customWidth="1"/>
    <col min="25" max="25" width="13.28515625" style="1" bestFit="1" customWidth="1"/>
    <col min="26" max="26" width="18.28515625" style="1" bestFit="1" customWidth="1"/>
    <col min="27" max="27" width="13.28515625" style="1" bestFit="1" customWidth="1"/>
    <col min="28" max="30" width="11.42578125" style="1"/>
    <col min="31" max="31" width="14.28515625" style="1" bestFit="1" customWidth="1"/>
    <col min="32" max="32" width="12.140625" style="1" bestFit="1" customWidth="1"/>
    <col min="33" max="36" width="11.42578125" style="1"/>
    <col min="37" max="37" width="17.85546875" style="1" bestFit="1" customWidth="1"/>
    <col min="38" max="38" width="12.140625" style="1" bestFit="1" customWidth="1"/>
    <col min="39" max="41" width="11.42578125" style="1"/>
    <col min="42" max="42" width="19.42578125" style="1" bestFit="1" customWidth="1"/>
    <col min="43" max="43" width="12.140625" style="1" bestFit="1" customWidth="1"/>
    <col min="44" max="47" width="11.42578125" style="1"/>
    <col min="48" max="48" width="16.7109375" style="1" bestFit="1" customWidth="1"/>
    <col min="49" max="49" width="12.140625" style="1" bestFit="1" customWidth="1"/>
    <col min="50" max="16384" width="11.42578125" style="1"/>
  </cols>
  <sheetData>
    <row r="1" spans="2:49" x14ac:dyDescent="0.25">
      <c r="B1" s="35" t="s">
        <v>244</v>
      </c>
      <c r="C1" s="30">
        <v>637404</v>
      </c>
    </row>
    <row r="2" spans="2:49" x14ac:dyDescent="0.25">
      <c r="Z2" s="149" t="s">
        <v>269</v>
      </c>
      <c r="AA2" s="149"/>
      <c r="AE2" s="149" t="s">
        <v>4</v>
      </c>
      <c r="AF2" s="149"/>
      <c r="AK2" s="149" t="s">
        <v>259</v>
      </c>
      <c r="AL2" s="149"/>
      <c r="AP2" s="149" t="s">
        <v>258</v>
      </c>
      <c r="AQ2" s="149"/>
      <c r="AV2" s="149" t="s">
        <v>262</v>
      </c>
      <c r="AW2" s="149"/>
    </row>
    <row r="3" spans="2:49" s="4" customFormat="1" x14ac:dyDescent="0.25">
      <c r="B3" s="3" t="s">
        <v>0</v>
      </c>
      <c r="C3" s="3" t="s">
        <v>1</v>
      </c>
      <c r="D3" s="3" t="s">
        <v>2</v>
      </c>
      <c r="E3" s="3" t="s">
        <v>13</v>
      </c>
      <c r="F3" s="6" t="s">
        <v>3</v>
      </c>
      <c r="G3" s="6" t="s">
        <v>4</v>
      </c>
      <c r="H3" s="6" t="s">
        <v>5</v>
      </c>
      <c r="I3" s="6" t="s">
        <v>9</v>
      </c>
      <c r="J3" s="6" t="s">
        <v>10</v>
      </c>
      <c r="K3" s="6" t="s">
        <v>11</v>
      </c>
      <c r="L3" s="6" t="s">
        <v>47</v>
      </c>
      <c r="M3" s="6" t="s">
        <v>48</v>
      </c>
      <c r="N3" s="6" t="s">
        <v>6</v>
      </c>
      <c r="O3" s="6" t="s">
        <v>7</v>
      </c>
      <c r="P3" s="6" t="s">
        <v>8</v>
      </c>
      <c r="Q3" s="6" t="s">
        <v>15</v>
      </c>
      <c r="R3" s="3" t="s">
        <v>17</v>
      </c>
      <c r="S3" s="3" t="s">
        <v>18</v>
      </c>
      <c r="V3" s="149" t="s">
        <v>245</v>
      </c>
      <c r="W3" s="149"/>
      <c r="Z3" s="102" t="s">
        <v>244</v>
      </c>
      <c r="AA3" s="7">
        <f>+C1</f>
        <v>637404</v>
      </c>
      <c r="AE3" s="102" t="s">
        <v>266</v>
      </c>
      <c r="AF3" s="7">
        <f>+AA3*0.22</f>
        <v>140228.88</v>
      </c>
      <c r="AK3" s="102" t="s">
        <v>259</v>
      </c>
      <c r="AL3" s="7">
        <f>+AA3*0.05</f>
        <v>31870.2</v>
      </c>
      <c r="AP3" s="102" t="s">
        <v>258</v>
      </c>
      <c r="AQ3" s="7">
        <f>+AA3*0.05</f>
        <v>31870.2</v>
      </c>
      <c r="AV3" s="102" t="s">
        <v>262</v>
      </c>
      <c r="AW3" s="7">
        <f>+AA3*0.025</f>
        <v>15935.1</v>
      </c>
    </row>
    <row r="4" spans="2:49" x14ac:dyDescent="0.25">
      <c r="B4" s="16">
        <v>1</v>
      </c>
      <c r="C4" s="5">
        <v>46054</v>
      </c>
      <c r="D4" s="2" t="s">
        <v>164</v>
      </c>
      <c r="E4" s="9">
        <v>46081</v>
      </c>
      <c r="F4" s="7">
        <v>17074.7</v>
      </c>
      <c r="G4" s="7">
        <f>+F4*0.22</f>
        <v>3756.4340000000002</v>
      </c>
      <c r="H4" s="7">
        <f>+F4+G4</f>
        <v>20831.134000000002</v>
      </c>
      <c r="I4" s="7">
        <f>+F4*Acopios!J8</f>
        <v>341.49400000000003</v>
      </c>
      <c r="J4" s="7">
        <f>+F4*Acopios!J13</f>
        <v>256.12049999999999</v>
      </c>
      <c r="K4" s="7"/>
      <c r="L4" s="7">
        <f>+F4*0.05</f>
        <v>853.73500000000013</v>
      </c>
      <c r="M4" s="7">
        <f>+F4*0.025</f>
        <v>426.86750000000006</v>
      </c>
      <c r="N4" s="68">
        <f>+F4-I4-J4-K4-L4-M4</f>
        <v>15196.483</v>
      </c>
      <c r="O4" s="7">
        <f>+N4</f>
        <v>15196.483</v>
      </c>
      <c r="P4" s="7">
        <f>+N4-O4</f>
        <v>0</v>
      </c>
      <c r="Q4" s="9">
        <v>46101</v>
      </c>
      <c r="R4" s="2">
        <v>14</v>
      </c>
      <c r="S4" s="15" t="s">
        <v>163</v>
      </c>
      <c r="V4" s="26" t="str">
        <f>+Z4</f>
        <v>Monto avanzado</v>
      </c>
      <c r="W4" s="26">
        <f>+AA4</f>
        <v>193264.92</v>
      </c>
      <c r="Y4" s="95"/>
      <c r="Z4" s="102" t="s">
        <v>251</v>
      </c>
      <c r="AA4" s="7">
        <f>+F10</f>
        <v>193264.92</v>
      </c>
      <c r="AE4" s="102" t="s">
        <v>267</v>
      </c>
      <c r="AF4" s="7">
        <f>+G10</f>
        <v>42518.282399999996</v>
      </c>
      <c r="AK4" s="102" t="s">
        <v>246</v>
      </c>
      <c r="AL4" s="7">
        <f>+I10+J10+K10</f>
        <v>9479.8706165719705</v>
      </c>
      <c r="AP4" s="102" t="s">
        <v>247</v>
      </c>
      <c r="AQ4" s="7">
        <f>+L10</f>
        <v>9663.2459999999992</v>
      </c>
      <c r="AV4" s="102" t="s">
        <v>263</v>
      </c>
      <c r="AW4" s="7">
        <f>+M10</f>
        <v>4831.6229999999996</v>
      </c>
    </row>
    <row r="5" spans="2:49" x14ac:dyDescent="0.25">
      <c r="B5" s="2">
        <v>2</v>
      </c>
      <c r="C5" s="5">
        <v>46082</v>
      </c>
      <c r="D5" s="2" t="s">
        <v>183</v>
      </c>
      <c r="E5" s="9">
        <v>46112</v>
      </c>
      <c r="F5" s="7">
        <v>20074.240000000002</v>
      </c>
      <c r="G5" s="7">
        <f t="shared" ref="G5:G6" si="0">+F5*0.22</f>
        <v>4416.3328000000001</v>
      </c>
      <c r="H5" s="7">
        <f t="shared" ref="H5:H6" si="1">+F5+G5</f>
        <v>24490.572800000002</v>
      </c>
      <c r="I5" s="7">
        <f>+F5*Acopios!J8</f>
        <v>401.48480000000006</v>
      </c>
      <c r="J5" s="7">
        <f>+F5*Acopios!J13</f>
        <v>301.11360000000002</v>
      </c>
      <c r="K5" s="7">
        <f>+F5*Acopios!J18</f>
        <v>309.40181786415695</v>
      </c>
      <c r="L5" s="7">
        <f>+F5*0.05</f>
        <v>1003.7120000000001</v>
      </c>
      <c r="M5" s="7">
        <f>+F5*0.025</f>
        <v>501.85600000000005</v>
      </c>
      <c r="N5" s="68">
        <f>+F5-I5-J5-K5-L5-M5</f>
        <v>17556.671782135847</v>
      </c>
      <c r="O5" s="7">
        <f>+N5</f>
        <v>17556.671782135847</v>
      </c>
      <c r="P5" s="7">
        <f>+N5-O5</f>
        <v>0</v>
      </c>
      <c r="Q5" s="9">
        <v>46141</v>
      </c>
      <c r="R5" s="2">
        <v>15</v>
      </c>
      <c r="S5" s="12">
        <v>106</v>
      </c>
      <c r="V5" s="27" t="str">
        <f>+AE3</f>
        <v>IVA contrato</v>
      </c>
      <c r="W5" s="27">
        <f>+AF3</f>
        <v>140228.88</v>
      </c>
      <c r="Y5" s="95"/>
      <c r="Z5" s="103" t="s">
        <v>260</v>
      </c>
      <c r="AA5" s="27">
        <f>+AA3-AA4</f>
        <v>444139.07999999996</v>
      </c>
      <c r="AE5" s="103" t="s">
        <v>268</v>
      </c>
      <c r="AF5" s="27">
        <f>+AF3-AF4</f>
        <v>97710.597600000008</v>
      </c>
      <c r="AK5" s="102" t="s">
        <v>265</v>
      </c>
      <c r="AL5" s="7">
        <f>+AL3-AL4</f>
        <v>22390.32938342803</v>
      </c>
      <c r="AP5" s="102" t="s">
        <v>261</v>
      </c>
      <c r="AQ5" s="7">
        <f>+AQ3-AQ4</f>
        <v>22206.954000000002</v>
      </c>
      <c r="AV5" s="102" t="s">
        <v>264</v>
      </c>
      <c r="AW5" s="7">
        <f>+AW3-AW4</f>
        <v>11103.477000000001</v>
      </c>
    </row>
    <row r="6" spans="2:49" x14ac:dyDescent="0.25">
      <c r="B6" s="2">
        <v>3</v>
      </c>
      <c r="C6" s="5">
        <v>46113</v>
      </c>
      <c r="D6" s="2" t="s">
        <v>209</v>
      </c>
      <c r="E6" s="9">
        <v>46142</v>
      </c>
      <c r="F6" s="7">
        <v>36286.379999999997</v>
      </c>
      <c r="G6" s="7">
        <f t="shared" si="0"/>
        <v>7983.0035999999991</v>
      </c>
      <c r="H6" s="7">
        <f t="shared" si="1"/>
        <v>44269.383599999994</v>
      </c>
      <c r="I6" s="7">
        <f>+F6*Acopios!$J$8</f>
        <v>725.72759999999994</v>
      </c>
      <c r="J6" s="7">
        <f>+F6*Acopios!$J$13</f>
        <v>544.2956999999999</v>
      </c>
      <c r="K6" s="7">
        <f>+F6*Acopios!$J$18</f>
        <v>559.27755848837046</v>
      </c>
      <c r="L6" s="7">
        <f>+F6*0.05</f>
        <v>1814.319</v>
      </c>
      <c r="M6" s="7">
        <f>+F6*0.025</f>
        <v>907.15949999999998</v>
      </c>
      <c r="N6" s="68">
        <f>+F6-I6-J6-K6-L6-M6</f>
        <v>31735.600641511624</v>
      </c>
      <c r="O6" s="7">
        <v>31735.599999999999</v>
      </c>
      <c r="P6" s="7">
        <f>+N6-O6</f>
        <v>6.4151162587222643E-4</v>
      </c>
      <c r="Q6" s="9">
        <v>46163</v>
      </c>
      <c r="R6" s="2">
        <v>16</v>
      </c>
      <c r="S6" s="12">
        <v>111</v>
      </c>
      <c r="V6" s="2" t="s">
        <v>270</v>
      </c>
      <c r="W6" s="27">
        <f>+W4+W5</f>
        <v>333493.80000000005</v>
      </c>
      <c r="Y6" s="95"/>
    </row>
    <row r="7" spans="2:49" x14ac:dyDescent="0.25">
      <c r="B7" s="2">
        <v>4</v>
      </c>
      <c r="C7" s="5">
        <v>46143</v>
      </c>
      <c r="D7" s="2" t="s">
        <v>223</v>
      </c>
      <c r="E7" s="9">
        <v>46173</v>
      </c>
      <c r="F7" s="7">
        <v>38012.629999999997</v>
      </c>
      <c r="G7" s="7">
        <f t="shared" ref="G7:G8" si="2">+F7*0.22</f>
        <v>8362.7785999999996</v>
      </c>
      <c r="H7" s="7">
        <f t="shared" ref="H7:H8" si="3">+F7+G7</f>
        <v>46375.408599999995</v>
      </c>
      <c r="I7" s="7">
        <f>+F7*Acopios!$J$8</f>
        <v>760.25259999999992</v>
      </c>
      <c r="J7" s="7">
        <f>+F7*Acopios!$J$13</f>
        <v>570.18944999999997</v>
      </c>
      <c r="K7" s="7">
        <f>+F7*Acopios!$J$18</f>
        <v>585.88403963475514</v>
      </c>
      <c r="L7" s="7">
        <f>+F7*0.05</f>
        <v>1900.6315</v>
      </c>
      <c r="M7" s="7">
        <f>+F7*0.025</f>
        <v>950.31574999999998</v>
      </c>
      <c r="N7" s="68">
        <f>+F7-I7-J7-K7-L7-M7</f>
        <v>33245.356660365236</v>
      </c>
      <c r="O7" s="7">
        <f>+N7</f>
        <v>33245.356660365236</v>
      </c>
      <c r="P7" s="7">
        <f>+N7-O7</f>
        <v>0</v>
      </c>
      <c r="Q7" s="9">
        <v>46198</v>
      </c>
      <c r="R7" s="2">
        <v>17</v>
      </c>
      <c r="S7" s="12">
        <v>117</v>
      </c>
      <c r="V7" s="27" t="str">
        <f>+AK4</f>
        <v>Acopio utilzado</v>
      </c>
      <c r="W7" s="27">
        <f>+AL4</f>
        <v>9479.8706165719705</v>
      </c>
    </row>
    <row r="8" spans="2:49" x14ac:dyDescent="0.25">
      <c r="B8" s="2">
        <v>5</v>
      </c>
      <c r="C8" s="5">
        <v>46174</v>
      </c>
      <c r="D8" s="2" t="s">
        <v>317</v>
      </c>
      <c r="E8" s="9">
        <v>46203</v>
      </c>
      <c r="F8" s="7">
        <v>81816.97</v>
      </c>
      <c r="G8" s="7">
        <f t="shared" si="2"/>
        <v>17999.733400000001</v>
      </c>
      <c r="H8" s="7">
        <f t="shared" si="3"/>
        <v>99816.703399999999</v>
      </c>
      <c r="I8" s="7">
        <f>+F8*Acopios!$J$8</f>
        <v>1636.3394000000001</v>
      </c>
      <c r="J8" s="7">
        <f>+F8*Acopios!$J$13</f>
        <v>1227.2545499999999</v>
      </c>
      <c r="K8" s="7">
        <f>+F8*Acopios!$J$18</f>
        <v>1261.0350005846892</v>
      </c>
      <c r="L8" s="7">
        <f>+F8*0.05</f>
        <v>4090.8485000000001</v>
      </c>
      <c r="M8" s="7">
        <f>+F8*0.025</f>
        <v>2045.42425</v>
      </c>
      <c r="N8" s="68">
        <f>+F8-I8-J8-K8-L8-M8</f>
        <v>71556.068299415332</v>
      </c>
      <c r="O8" s="7">
        <v>71556.070000000007</v>
      </c>
      <c r="P8" s="7">
        <f>+N8-O8</f>
        <v>-1.7005846748361364E-3</v>
      </c>
      <c r="Q8" s="9">
        <v>46233</v>
      </c>
      <c r="R8" s="2">
        <v>18</v>
      </c>
      <c r="S8" s="12">
        <v>124</v>
      </c>
      <c r="V8" s="27" t="str">
        <f>+AP4</f>
        <v>Garantía retenida</v>
      </c>
      <c r="W8" s="27">
        <f>+AQ4</f>
        <v>9663.2459999999992</v>
      </c>
    </row>
    <row r="9" spans="2:49" x14ac:dyDescent="0.25">
      <c r="Q9" s="74"/>
      <c r="V9" s="27" t="str">
        <f>+AV4</f>
        <v>Canje utilizado</v>
      </c>
      <c r="W9" s="27">
        <f>+AW4</f>
        <v>4831.6229999999996</v>
      </c>
    </row>
    <row r="10" spans="2:49" x14ac:dyDescent="0.25">
      <c r="F10" s="20">
        <f t="shared" ref="F10:O10" si="4">+SUM(F4:F8)</f>
        <v>193264.92</v>
      </c>
      <c r="G10" s="20">
        <f t="shared" si="4"/>
        <v>42518.282399999996</v>
      </c>
      <c r="H10" s="20">
        <f t="shared" si="4"/>
        <v>235783.20239999998</v>
      </c>
      <c r="I10" s="20">
        <f>+SUM(I4:I8)</f>
        <v>3865.2983999999997</v>
      </c>
      <c r="J10" s="20">
        <f t="shared" si="4"/>
        <v>2898.9737999999998</v>
      </c>
      <c r="K10" s="20">
        <f t="shared" si="4"/>
        <v>2715.5984165719719</v>
      </c>
      <c r="L10" s="20">
        <f t="shared" si="4"/>
        <v>9663.2459999999992</v>
      </c>
      <c r="M10" s="20">
        <f t="shared" si="4"/>
        <v>4831.6229999999996</v>
      </c>
      <c r="N10" s="20">
        <f t="shared" si="4"/>
        <v>169290.18038342806</v>
      </c>
      <c r="O10" s="20">
        <f t="shared" si="4"/>
        <v>169290.18144250108</v>
      </c>
      <c r="Q10" s="74"/>
      <c r="V10" s="105" t="s">
        <v>7</v>
      </c>
      <c r="W10" s="26">
        <f>+W4-W7-W8-W9</f>
        <v>169290.18038342803</v>
      </c>
    </row>
    <row r="11" spans="2:49" x14ac:dyDescent="0.25">
      <c r="Q11" s="74"/>
      <c r="Y11" s="95"/>
    </row>
    <row r="12" spans="2:49" x14ac:dyDescent="0.25">
      <c r="Q12" s="74"/>
      <c r="Y12" s="95"/>
    </row>
    <row r="13" spans="2:49" x14ac:dyDescent="0.25">
      <c r="Q13" s="74"/>
      <c r="Y13" s="104"/>
    </row>
    <row r="14" spans="2:49" x14ac:dyDescent="0.25">
      <c r="Q14" s="74"/>
      <c r="Y14" s="95"/>
    </row>
    <row r="15" spans="2:49" x14ac:dyDescent="0.25">
      <c r="Q15" s="74"/>
      <c r="Y15" s="95"/>
    </row>
    <row r="16" spans="2:49" x14ac:dyDescent="0.25">
      <c r="D16" s="8"/>
      <c r="Q16" s="74"/>
    </row>
    <row r="17" spans="17:22" x14ac:dyDescent="0.25">
      <c r="Q17" s="74"/>
    </row>
    <row r="18" spans="17:22" x14ac:dyDescent="0.25">
      <c r="Q18" s="74"/>
    </row>
    <row r="28" spans="17:22" x14ac:dyDescent="0.25">
      <c r="V28" s="10"/>
    </row>
  </sheetData>
  <mergeCells count="6">
    <mergeCell ref="AV2:AW2"/>
    <mergeCell ref="V3:W3"/>
    <mergeCell ref="Z2:AA2"/>
    <mergeCell ref="AE2:AF2"/>
    <mergeCell ref="AK2:AL2"/>
    <mergeCell ref="AP2:AQ2"/>
  </mergeCells>
  <pageMargins left="0.7" right="0.7" top="0.75" bottom="0.75" header="0.3" footer="0.3"/>
  <ignoredErrors>
    <ignoredError sqref="S4" numberStoredAsText="1"/>
    <ignoredError sqref="K6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69DE-5CC3-405F-ABC7-249578DE7FE0}">
  <sheetPr codeName="Hoja5">
    <tabColor theme="9" tint="0.79998168889431442"/>
  </sheetPr>
  <dimension ref="B1:AP28"/>
  <sheetViews>
    <sheetView zoomScale="90" zoomScaleNormal="90" workbookViewId="0">
      <selection activeCell="M25" sqref="M25"/>
    </sheetView>
  </sheetViews>
  <sheetFormatPr baseColWidth="10" defaultColWidth="11.42578125" defaultRowHeight="15" x14ac:dyDescent="0.25"/>
  <cols>
    <col min="1" max="1" width="8.28515625" style="1" customWidth="1"/>
    <col min="2" max="2" width="17" style="1" bestFit="1" customWidth="1"/>
    <col min="3" max="3" width="11.7109375" style="1" customWidth="1"/>
    <col min="4" max="4" width="9.42578125" style="1" customWidth="1"/>
    <col min="5" max="5" width="13" style="1" bestFit="1" customWidth="1"/>
    <col min="6" max="6" width="13.42578125" style="8" bestFit="1" customWidth="1"/>
    <col min="7" max="7" width="8.85546875" style="8" customWidth="1"/>
    <col min="8" max="11" width="11.5703125" style="8" customWidth="1"/>
    <col min="12" max="12" width="33.7109375" style="8" bestFit="1" customWidth="1"/>
    <col min="13" max="13" width="43.5703125" style="8" bestFit="1" customWidth="1"/>
    <col min="14" max="14" width="13.42578125" style="8" bestFit="1" customWidth="1"/>
    <col min="15" max="17" width="11.42578125" style="8"/>
    <col min="18" max="18" width="11.42578125" style="1"/>
    <col min="19" max="19" width="28.140625" style="1" bestFit="1" customWidth="1"/>
    <col min="20" max="21" width="11.42578125" style="1"/>
    <col min="22" max="22" width="22.85546875" style="1" bestFit="1" customWidth="1"/>
    <col min="23" max="23" width="18.28515625" style="1" customWidth="1"/>
    <col min="24" max="24" width="13.42578125" style="1" bestFit="1" customWidth="1"/>
    <col min="25" max="25" width="13.28515625" style="1" bestFit="1" customWidth="1"/>
    <col min="26" max="26" width="18.28515625" style="1" bestFit="1" customWidth="1"/>
    <col min="27" max="27" width="13.28515625" style="1" bestFit="1" customWidth="1"/>
    <col min="28" max="30" width="11.42578125" style="1"/>
    <col min="31" max="31" width="17.85546875" style="1" bestFit="1" customWidth="1"/>
    <col min="32" max="32" width="12.140625" style="1" bestFit="1" customWidth="1"/>
    <col min="33" max="35" width="11.42578125" style="1"/>
    <col min="36" max="36" width="19.42578125" style="1" bestFit="1" customWidth="1"/>
    <col min="37" max="37" width="12.140625" style="1" bestFit="1" customWidth="1"/>
    <col min="38" max="40" width="11.42578125" style="1"/>
    <col min="41" max="41" width="16.7109375" style="1" bestFit="1" customWidth="1"/>
    <col min="42" max="42" width="12.140625" style="1" bestFit="1" customWidth="1"/>
    <col min="43" max="16384" width="11.42578125" style="1"/>
  </cols>
  <sheetData>
    <row r="1" spans="2:42" x14ac:dyDescent="0.25">
      <c r="B1" s="35" t="s">
        <v>244</v>
      </c>
      <c r="C1" s="30">
        <v>451303</v>
      </c>
    </row>
    <row r="2" spans="2:42" x14ac:dyDescent="0.25">
      <c r="Z2" s="149" t="s">
        <v>269</v>
      </c>
      <c r="AA2" s="149"/>
      <c r="AE2" s="149" t="s">
        <v>259</v>
      </c>
      <c r="AF2" s="149"/>
      <c r="AJ2" s="149" t="s">
        <v>258</v>
      </c>
      <c r="AK2" s="149"/>
      <c r="AO2" s="149" t="s">
        <v>262</v>
      </c>
      <c r="AP2" s="149"/>
    </row>
    <row r="3" spans="2:42" s="4" customFormat="1" x14ac:dyDescent="0.25">
      <c r="B3" s="3" t="s">
        <v>0</v>
      </c>
      <c r="C3" s="3" t="s">
        <v>1</v>
      </c>
      <c r="D3" s="3" t="s">
        <v>2</v>
      </c>
      <c r="E3" s="3" t="s">
        <v>13</v>
      </c>
      <c r="F3" s="6" t="s">
        <v>3</v>
      </c>
      <c r="G3" s="6" t="s">
        <v>4</v>
      </c>
      <c r="H3" s="6" t="s">
        <v>5</v>
      </c>
      <c r="I3" s="6" t="s">
        <v>9</v>
      </c>
      <c r="J3" s="6" t="s">
        <v>10</v>
      </c>
      <c r="K3" s="6" t="s">
        <v>11</v>
      </c>
      <c r="L3" s="6" t="s">
        <v>47</v>
      </c>
      <c r="M3" s="6" t="s">
        <v>48</v>
      </c>
      <c r="N3" s="6" t="s">
        <v>6</v>
      </c>
      <c r="O3" s="6" t="s">
        <v>7</v>
      </c>
      <c r="P3" s="6" t="s">
        <v>8</v>
      </c>
      <c r="Q3" s="6" t="s">
        <v>15</v>
      </c>
      <c r="R3" s="3" t="s">
        <v>18</v>
      </c>
      <c r="S3" s="3" t="s">
        <v>12</v>
      </c>
      <c r="V3" s="149" t="s">
        <v>245</v>
      </c>
      <c r="W3" s="149"/>
      <c r="Z3" s="102" t="s">
        <v>244</v>
      </c>
      <c r="AA3" s="7">
        <f>+C1</f>
        <v>451303</v>
      </c>
      <c r="AE3" s="102" t="s">
        <v>259</v>
      </c>
      <c r="AF3" s="7">
        <f>+AA3*0.05</f>
        <v>22565.15</v>
      </c>
      <c r="AJ3" s="102" t="s">
        <v>258</v>
      </c>
      <c r="AK3" s="7">
        <f>+AA3*0.05</f>
        <v>22565.15</v>
      </c>
      <c r="AO3" s="102" t="s">
        <v>262</v>
      </c>
      <c r="AP3" s="7">
        <f>+AA3*0.025</f>
        <v>11282.575000000001</v>
      </c>
    </row>
    <row r="4" spans="2:42" x14ac:dyDescent="0.25">
      <c r="B4" s="16">
        <v>1</v>
      </c>
      <c r="C4" s="5">
        <v>46082</v>
      </c>
      <c r="D4" s="2" t="s">
        <v>190</v>
      </c>
      <c r="E4" s="9">
        <v>46112</v>
      </c>
      <c r="F4" s="7">
        <v>89320</v>
      </c>
      <c r="G4" s="7">
        <v>0</v>
      </c>
      <c r="H4" s="7">
        <f>+F4</f>
        <v>89320</v>
      </c>
      <c r="I4" s="7">
        <f>+F4*Acopios!J9</f>
        <v>1786.4</v>
      </c>
      <c r="J4" s="7">
        <f>+F4*Acopios!J13</f>
        <v>1339.8</v>
      </c>
      <c r="K4" s="7">
        <f>+F4*Acopios!J19</f>
        <v>1339.8</v>
      </c>
      <c r="L4" s="7">
        <f>+F4*0.05</f>
        <v>4466</v>
      </c>
      <c r="M4" s="7">
        <f>+F4*0.025</f>
        <v>2233</v>
      </c>
      <c r="N4" s="7">
        <f>+F4-I4-J4-K4-L4-M4</f>
        <v>78155</v>
      </c>
      <c r="O4" s="8">
        <f>+N4</f>
        <v>78155</v>
      </c>
      <c r="P4" s="7">
        <f>+N4-O4</f>
        <v>0</v>
      </c>
      <c r="Q4" s="9">
        <v>46141</v>
      </c>
      <c r="R4" s="15" t="s">
        <v>171</v>
      </c>
      <c r="S4" s="73"/>
      <c r="V4" s="26" t="str">
        <f>+Z4</f>
        <v>Monto avanzado</v>
      </c>
      <c r="W4" s="26">
        <f>+AA4</f>
        <v>104785.14</v>
      </c>
      <c r="Y4" s="95"/>
      <c r="Z4" s="102" t="s">
        <v>251</v>
      </c>
      <c r="AA4" s="7">
        <f>+F9</f>
        <v>104785.14</v>
      </c>
      <c r="AE4" s="102" t="s">
        <v>246</v>
      </c>
      <c r="AF4" s="7">
        <f>+I9+J9+K9</f>
        <v>5239.2570000000005</v>
      </c>
      <c r="AJ4" s="102" t="s">
        <v>247</v>
      </c>
      <c r="AK4" s="7">
        <f>+L9</f>
        <v>5239.2570000000005</v>
      </c>
      <c r="AO4" s="102" t="s">
        <v>263</v>
      </c>
      <c r="AP4" s="7">
        <f>+M9</f>
        <v>2619.6285000000003</v>
      </c>
    </row>
    <row r="5" spans="2:42" x14ac:dyDescent="0.25">
      <c r="B5" s="2">
        <v>2</v>
      </c>
      <c r="C5" s="5">
        <v>46113</v>
      </c>
      <c r="D5" s="2" t="s">
        <v>212</v>
      </c>
      <c r="E5" s="9">
        <v>46142</v>
      </c>
      <c r="F5" s="7">
        <v>2157.0100000000002</v>
      </c>
      <c r="G5" s="7">
        <v>0</v>
      </c>
      <c r="H5" s="7">
        <f>+F5</f>
        <v>2157.0100000000002</v>
      </c>
      <c r="I5" s="7">
        <f>+F5*Acopios!$J$9</f>
        <v>43.140200000000007</v>
      </c>
      <c r="J5" s="7">
        <f>+F5*Acopios!$J$13</f>
        <v>32.355150000000002</v>
      </c>
      <c r="K5" s="7">
        <f>+F5*Acopios!$J$19</f>
        <v>32.355150000000002</v>
      </c>
      <c r="L5" s="7">
        <f>+F5*0.05</f>
        <v>107.85050000000001</v>
      </c>
      <c r="M5" s="7">
        <f>+F5*0.025</f>
        <v>53.925250000000005</v>
      </c>
      <c r="N5" s="7">
        <f>+F5-I5-J5-K5-L5-M5</f>
        <v>1887.3837500000006</v>
      </c>
      <c r="O5" s="7">
        <v>1887</v>
      </c>
      <c r="P5" s="7">
        <f>+N5-O5</f>
        <v>0.38375000000064574</v>
      </c>
      <c r="Q5" s="9">
        <v>46163</v>
      </c>
      <c r="R5" s="12">
        <v>112</v>
      </c>
      <c r="S5" s="2"/>
      <c r="V5" s="27" t="str">
        <f>+AE4</f>
        <v>Acopio utilzado</v>
      </c>
      <c r="W5" s="27">
        <f>+AF4</f>
        <v>5239.2570000000005</v>
      </c>
      <c r="Y5" s="95"/>
      <c r="Z5" s="103" t="s">
        <v>260</v>
      </c>
      <c r="AA5" s="27">
        <f>+AA3-AA4</f>
        <v>346517.86</v>
      </c>
      <c r="AE5" s="102" t="s">
        <v>265</v>
      </c>
      <c r="AF5" s="7">
        <f>+AF3-AF4</f>
        <v>17325.893</v>
      </c>
      <c r="AJ5" s="102" t="s">
        <v>261</v>
      </c>
      <c r="AK5" s="7">
        <f>+AK3-AK4</f>
        <v>17325.893</v>
      </c>
      <c r="AO5" s="102" t="s">
        <v>264</v>
      </c>
      <c r="AP5" s="7">
        <f>+AP3-AP4</f>
        <v>8662.9465</v>
      </c>
    </row>
    <row r="6" spans="2:42" x14ac:dyDescent="0.25">
      <c r="B6" s="2">
        <v>3</v>
      </c>
      <c r="C6" s="5">
        <v>46143</v>
      </c>
      <c r="D6" s="2" t="s">
        <v>224</v>
      </c>
      <c r="E6" s="9">
        <v>46173</v>
      </c>
      <c r="F6" s="7">
        <v>10376.530000000001</v>
      </c>
      <c r="G6" s="7">
        <v>0</v>
      </c>
      <c r="H6" s="7">
        <f>+F6</f>
        <v>10376.530000000001</v>
      </c>
      <c r="I6" s="7">
        <f>+F6*Acopios!$J$9</f>
        <v>207.53060000000002</v>
      </c>
      <c r="J6" s="7">
        <f>+F6*Acopios!$J$13</f>
        <v>155.64795000000001</v>
      </c>
      <c r="K6" s="7">
        <f>+F6*Acopios!$J$19</f>
        <v>155.64795000000001</v>
      </c>
      <c r="L6" s="7">
        <f>+F6*0.05</f>
        <v>518.82650000000001</v>
      </c>
      <c r="M6" s="7">
        <f>+F6*0.025</f>
        <v>259.41325000000001</v>
      </c>
      <c r="N6" s="7">
        <f>+F6-I6-J6-K6-L6-M6</f>
        <v>9079.4637500000008</v>
      </c>
      <c r="O6" s="7">
        <f>+N6</f>
        <v>9079.4637500000008</v>
      </c>
      <c r="P6" s="7">
        <f>+N6-O6</f>
        <v>0</v>
      </c>
      <c r="Q6" s="9">
        <v>46198</v>
      </c>
      <c r="R6" s="12">
        <v>118</v>
      </c>
      <c r="S6" s="2"/>
      <c r="V6" s="27" t="str">
        <f>+AJ4</f>
        <v>Garantía retenida</v>
      </c>
      <c r="W6" s="27">
        <f>+AK4</f>
        <v>5239.2570000000005</v>
      </c>
      <c r="Y6" s="95"/>
    </row>
    <row r="7" spans="2:42" x14ac:dyDescent="0.25">
      <c r="B7" s="2">
        <v>4</v>
      </c>
      <c r="C7" s="5">
        <v>46174</v>
      </c>
      <c r="D7" s="2" t="s">
        <v>316</v>
      </c>
      <c r="E7" s="9">
        <v>46203</v>
      </c>
      <c r="F7" s="7">
        <v>2931.6</v>
      </c>
      <c r="G7" s="7">
        <v>0</v>
      </c>
      <c r="H7" s="7">
        <f>+F7</f>
        <v>2931.6</v>
      </c>
      <c r="I7" s="7">
        <f>+F7*Acopios!$J$9</f>
        <v>58.631999999999998</v>
      </c>
      <c r="J7" s="7">
        <f>+F7*Acopios!$J$13</f>
        <v>43.973999999999997</v>
      </c>
      <c r="K7" s="7">
        <f>+F7*Acopios!$J$19</f>
        <v>43.973999999999997</v>
      </c>
      <c r="L7" s="7">
        <f>+F7*0.05</f>
        <v>146.58000000000001</v>
      </c>
      <c r="M7" s="7">
        <f>+F7*0.025</f>
        <v>73.290000000000006</v>
      </c>
      <c r="N7" s="7">
        <f>+F7-I7-J7-K7-L7-M7</f>
        <v>2565.1499999999996</v>
      </c>
      <c r="O7" s="7">
        <v>2565.15</v>
      </c>
      <c r="P7" s="7">
        <f>+N7-O7</f>
        <v>0</v>
      </c>
      <c r="Q7" s="9">
        <v>46233</v>
      </c>
      <c r="R7" s="12">
        <v>125</v>
      </c>
      <c r="S7" s="2"/>
      <c r="V7" s="27" t="str">
        <f>+AO4</f>
        <v>Canje utilizado</v>
      </c>
      <c r="W7" s="27">
        <f>+AP4</f>
        <v>2619.6285000000003</v>
      </c>
    </row>
    <row r="8" spans="2:42" x14ac:dyDescent="0.25">
      <c r="P8" s="20"/>
      <c r="V8" s="105" t="s">
        <v>7</v>
      </c>
      <c r="W8" s="26">
        <f>+W4-W5-W6-W7</f>
        <v>91686.997499999998</v>
      </c>
    </row>
    <row r="9" spans="2:42" x14ac:dyDescent="0.25">
      <c r="F9" s="20">
        <f t="shared" ref="F9:O9" si="0">+SUM(F4:F7)</f>
        <v>104785.14</v>
      </c>
      <c r="G9" s="20">
        <f t="shared" si="0"/>
        <v>0</v>
      </c>
      <c r="H9" s="20">
        <f t="shared" si="0"/>
        <v>104785.14</v>
      </c>
      <c r="I9" s="20">
        <f t="shared" si="0"/>
        <v>2095.7028</v>
      </c>
      <c r="J9" s="20">
        <f t="shared" si="0"/>
        <v>1571.7771</v>
      </c>
      <c r="K9" s="20">
        <f t="shared" si="0"/>
        <v>1571.7771</v>
      </c>
      <c r="L9" s="20">
        <f t="shared" si="0"/>
        <v>5239.2570000000005</v>
      </c>
      <c r="M9" s="20">
        <f t="shared" si="0"/>
        <v>2619.6285000000003</v>
      </c>
      <c r="N9" s="20">
        <f t="shared" si="0"/>
        <v>91686.997499999983</v>
      </c>
      <c r="O9" s="20">
        <f t="shared" si="0"/>
        <v>91686.61374999999</v>
      </c>
    </row>
    <row r="11" spans="2:42" x14ac:dyDescent="0.25">
      <c r="Y11" s="95"/>
    </row>
    <row r="12" spans="2:42" x14ac:dyDescent="0.25">
      <c r="Y12" s="95"/>
    </row>
    <row r="13" spans="2:42" x14ac:dyDescent="0.25">
      <c r="Y13" s="104"/>
    </row>
    <row r="14" spans="2:42" x14ac:dyDescent="0.25">
      <c r="Y14" s="95"/>
    </row>
    <row r="15" spans="2:42" x14ac:dyDescent="0.25">
      <c r="Y15" s="95"/>
    </row>
    <row r="28" spans="22:22" x14ac:dyDescent="0.25">
      <c r="V28" s="10"/>
    </row>
  </sheetData>
  <mergeCells count="5">
    <mergeCell ref="AO2:AP2"/>
    <mergeCell ref="V3:W3"/>
    <mergeCell ref="Z2:AA2"/>
    <mergeCell ref="AE2:AF2"/>
    <mergeCell ref="AJ2:AK2"/>
  </mergeCells>
  <pageMargins left="0.7" right="0.7" top="0.75" bottom="0.75" header="0.3" footer="0.3"/>
  <ignoredErrors>
    <ignoredError sqref="R4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C18F-D3BD-4D0F-A55D-2F345C0FDA8B}">
  <sheetPr codeName="Hoja7">
    <tabColor theme="5" tint="0.79998168889431442"/>
    <pageSetUpPr fitToPage="1"/>
  </sheetPr>
  <dimension ref="B2:AI34"/>
  <sheetViews>
    <sheetView workbookViewId="0">
      <selection activeCell="H34" sqref="H34"/>
    </sheetView>
  </sheetViews>
  <sheetFormatPr baseColWidth="10" defaultColWidth="11.42578125" defaultRowHeight="15" x14ac:dyDescent="0.25"/>
  <cols>
    <col min="1" max="1" width="11.42578125" style="1"/>
    <col min="2" max="2" width="17.140625" style="1" customWidth="1"/>
    <col min="3" max="3" width="11.140625" style="1" customWidth="1"/>
    <col min="4" max="5" width="10.5703125" style="1" customWidth="1"/>
    <col min="6" max="6" width="12.5703125" style="1" bestFit="1" customWidth="1"/>
    <col min="7" max="7" width="11.5703125" style="1" bestFit="1" customWidth="1"/>
    <col min="8" max="9" width="14.42578125" style="1" customWidth="1"/>
    <col min="10" max="10" width="25.7109375" style="1" bestFit="1" customWidth="1"/>
    <col min="11" max="11" width="22.7109375" style="1" bestFit="1" customWidth="1"/>
    <col min="12" max="12" width="15" style="1" customWidth="1"/>
    <col min="13" max="13" width="12.85546875" style="1" customWidth="1"/>
    <col min="14" max="14" width="11.85546875" style="1" bestFit="1" customWidth="1"/>
    <col min="15" max="16" width="11.42578125" style="1" customWidth="1"/>
    <col min="17" max="20" width="11.42578125" style="1"/>
    <col min="21" max="21" width="18" style="1" bestFit="1" customWidth="1"/>
    <col min="22" max="16384" width="11.42578125" style="1"/>
  </cols>
  <sheetData>
    <row r="2" spans="2:35" x14ac:dyDescent="0.25">
      <c r="B2" s="191" t="s">
        <v>59</v>
      </c>
      <c r="C2" s="190" t="s">
        <v>1</v>
      </c>
      <c r="D2" s="190" t="s">
        <v>2</v>
      </c>
      <c r="E2" s="193" t="s">
        <v>13</v>
      </c>
      <c r="F2" s="190" t="s">
        <v>43</v>
      </c>
      <c r="G2" s="190"/>
      <c r="H2" s="190"/>
      <c r="I2" s="150" t="s">
        <v>44</v>
      </c>
      <c r="J2" s="184"/>
      <c r="K2" s="184"/>
      <c r="L2" s="184"/>
      <c r="M2" s="151"/>
      <c r="N2" s="201" t="s">
        <v>7</v>
      </c>
      <c r="O2" s="201" t="s">
        <v>8</v>
      </c>
      <c r="P2" s="202" t="s">
        <v>15</v>
      </c>
      <c r="Q2" s="190" t="s">
        <v>17</v>
      </c>
      <c r="R2" s="190" t="s">
        <v>18</v>
      </c>
      <c r="U2" s="198" t="s">
        <v>245</v>
      </c>
      <c r="V2" s="198"/>
      <c r="AA2" s="195" t="s">
        <v>300</v>
      </c>
      <c r="AB2" s="195"/>
      <c r="AC2" s="195"/>
      <c r="AD2" s="195"/>
      <c r="AE2" s="195"/>
      <c r="AF2" s="195"/>
      <c r="AH2" s="195" t="s">
        <v>301</v>
      </c>
      <c r="AI2" s="195"/>
    </row>
    <row r="3" spans="2:35" x14ac:dyDescent="0.25">
      <c r="B3" s="192"/>
      <c r="C3" s="190"/>
      <c r="D3" s="190"/>
      <c r="E3" s="194"/>
      <c r="F3" s="21" t="s">
        <v>3</v>
      </c>
      <c r="G3" s="21" t="s">
        <v>4</v>
      </c>
      <c r="H3" s="21" t="s">
        <v>5</v>
      </c>
      <c r="I3" s="21" t="s">
        <v>45</v>
      </c>
      <c r="J3" s="21" t="s">
        <v>3</v>
      </c>
      <c r="K3" s="21" t="s">
        <v>56</v>
      </c>
      <c r="L3" s="185" t="s">
        <v>6</v>
      </c>
      <c r="M3" s="186"/>
      <c r="N3" s="201"/>
      <c r="O3" s="201"/>
      <c r="P3" s="203"/>
      <c r="Q3" s="190"/>
      <c r="R3" s="190"/>
      <c r="U3" s="7" t="s">
        <v>251</v>
      </c>
      <c r="V3" s="90">
        <f>+F11</f>
        <v>557349.37993839814</v>
      </c>
      <c r="AA3" s="126" t="s">
        <v>291</v>
      </c>
      <c r="AB3" s="126" t="s">
        <v>292</v>
      </c>
      <c r="AC3" s="126" t="s">
        <v>293</v>
      </c>
      <c r="AD3" s="126" t="s">
        <v>294</v>
      </c>
      <c r="AE3" s="126" t="s">
        <v>295</v>
      </c>
      <c r="AF3" s="126" t="s">
        <v>296</v>
      </c>
      <c r="AH3" s="126" t="s">
        <v>291</v>
      </c>
      <c r="AI3" s="126" t="s">
        <v>3</v>
      </c>
    </row>
    <row r="4" spans="2:35" x14ac:dyDescent="0.25">
      <c r="B4" s="24">
        <v>2</v>
      </c>
      <c r="C4" s="182">
        <v>45809</v>
      </c>
      <c r="D4" s="2" t="s">
        <v>41</v>
      </c>
      <c r="E4" s="9">
        <v>45838</v>
      </c>
      <c r="F4" s="7">
        <v>138254.189715121</v>
      </c>
      <c r="G4" s="7">
        <f>+F4*0.22</f>
        <v>30415.921737326618</v>
      </c>
      <c r="H4" s="7">
        <f>+F4+G4</f>
        <v>168670.11145244763</v>
      </c>
      <c r="I4" s="18">
        <v>0.66666666666666674</v>
      </c>
      <c r="J4" s="7">
        <f>+F4*I4</f>
        <v>92169.459810080676</v>
      </c>
      <c r="K4" s="7">
        <f>+F4*I4*0.05</f>
        <v>4608.472990504034</v>
      </c>
      <c r="L4" s="7">
        <f>+F4*I4-K4</f>
        <v>87560.986819576647</v>
      </c>
      <c r="M4" s="187">
        <f>+L4+L5</f>
        <v>560177.05703168991</v>
      </c>
      <c r="N4" s="7">
        <v>87561.5</v>
      </c>
      <c r="O4" s="7">
        <f>L4-N4</f>
        <v>-0.51318042335333303</v>
      </c>
      <c r="P4" s="9">
        <v>45869</v>
      </c>
      <c r="Q4" s="2">
        <v>6</v>
      </c>
      <c r="R4" s="196" t="s">
        <v>49</v>
      </c>
      <c r="U4" s="7" t="s">
        <v>249</v>
      </c>
      <c r="V4" s="7">
        <f>+G11</f>
        <v>122616.86358644761</v>
      </c>
      <c r="AA4" s="127" t="s">
        <v>297</v>
      </c>
      <c r="AB4" s="128">
        <f>$J$4</f>
        <v>92169.459810080676</v>
      </c>
      <c r="AC4" s="128">
        <f>$J$5</f>
        <v>497490.60022327717</v>
      </c>
      <c r="AD4" s="128"/>
      <c r="AE4" s="128"/>
      <c r="AF4" s="128"/>
      <c r="AH4" s="127" t="s">
        <v>297</v>
      </c>
      <c r="AI4" s="129">
        <f>+AB4+AC4</f>
        <v>589660.06003335782</v>
      </c>
    </row>
    <row r="5" spans="2:35" x14ac:dyDescent="0.25">
      <c r="B5" s="72">
        <v>3</v>
      </c>
      <c r="C5" s="183"/>
      <c r="D5" s="91" t="s">
        <v>42</v>
      </c>
      <c r="E5" s="92">
        <v>45838</v>
      </c>
      <c r="F5" s="93">
        <v>497490.60022327717</v>
      </c>
      <c r="G5" s="93">
        <f>+F5*0.22</f>
        <v>109447.93204912098</v>
      </c>
      <c r="H5" s="93">
        <f>+F5+G5</f>
        <v>606938.53227239812</v>
      </c>
      <c r="I5" s="94">
        <v>1</v>
      </c>
      <c r="J5" s="7">
        <f t="shared" ref="J5:J8" si="0">+F5*I5</f>
        <v>497490.60022327717</v>
      </c>
      <c r="K5" s="93">
        <f>+F5*I5*0.05</f>
        <v>24874.530011163861</v>
      </c>
      <c r="L5" s="93">
        <f>+F5*I5-K5</f>
        <v>472616.07021211332</v>
      </c>
      <c r="M5" s="188"/>
      <c r="N5" s="93">
        <v>472616.07</v>
      </c>
      <c r="O5" s="93">
        <f>L5-N5</f>
        <v>2.121133147738874E-4</v>
      </c>
      <c r="P5" s="92">
        <v>45869</v>
      </c>
      <c r="Q5" s="91">
        <v>6</v>
      </c>
      <c r="R5" s="197"/>
      <c r="U5" s="7" t="s">
        <v>252</v>
      </c>
      <c r="V5" s="7">
        <f>+H11</f>
        <v>679966.24352484581</v>
      </c>
      <c r="AA5" s="127" t="s">
        <v>298</v>
      </c>
      <c r="AB5" s="128"/>
      <c r="AC5" s="128"/>
      <c r="AD5" s="128">
        <f>$J$6</f>
        <v>309912</v>
      </c>
      <c r="AE5" s="128"/>
      <c r="AF5" s="128"/>
      <c r="AH5" s="127" t="s">
        <v>298</v>
      </c>
      <c r="AI5" s="129">
        <f>+AD5</f>
        <v>309912</v>
      </c>
    </row>
    <row r="6" spans="2:35" x14ac:dyDescent="0.25">
      <c r="B6" s="24">
        <v>4</v>
      </c>
      <c r="C6" s="25">
        <v>45839</v>
      </c>
      <c r="D6" s="2" t="s">
        <v>53</v>
      </c>
      <c r="E6" s="9">
        <v>45869</v>
      </c>
      <c r="F6" s="7">
        <v>309912</v>
      </c>
      <c r="G6" s="7">
        <f>+F6*0.22</f>
        <v>68180.639999999999</v>
      </c>
      <c r="H6" s="7">
        <f>+F6+G6</f>
        <v>378092.64</v>
      </c>
      <c r="I6" s="18">
        <v>1</v>
      </c>
      <c r="J6" s="7">
        <f t="shared" si="0"/>
        <v>309912</v>
      </c>
      <c r="K6" s="7">
        <f>+F6*I6*0.05</f>
        <v>15495.6</v>
      </c>
      <c r="L6" s="7">
        <f>+F6*I6-K6</f>
        <v>294416.40000000002</v>
      </c>
      <c r="M6" s="81">
        <f>+L6</f>
        <v>294416.40000000002</v>
      </c>
      <c r="N6" s="7">
        <v>294416.40000000002</v>
      </c>
      <c r="O6" s="7">
        <f>L6-N6</f>
        <v>0</v>
      </c>
      <c r="P6" s="9">
        <v>45891</v>
      </c>
      <c r="Q6" s="2">
        <v>7</v>
      </c>
      <c r="R6" s="15" t="s">
        <v>54</v>
      </c>
      <c r="U6" s="7" t="s">
        <v>247</v>
      </c>
      <c r="V6" s="7">
        <f>+K11</f>
        <v>22772.803001667893</v>
      </c>
      <c r="AA6" s="127" t="s">
        <v>299</v>
      </c>
      <c r="AB6" s="128"/>
      <c r="AC6" s="128"/>
      <c r="AD6" s="128"/>
      <c r="AE6" s="128">
        <f>$J$7</f>
        <v>-552655</v>
      </c>
      <c r="AF6" s="128">
        <f>$J$8</f>
        <v>108538.99999999999</v>
      </c>
      <c r="AH6" s="127" t="s">
        <v>299</v>
      </c>
      <c r="AI6" s="129">
        <f>+AE6+AF6</f>
        <v>-444116</v>
      </c>
    </row>
    <row r="7" spans="2:35" x14ac:dyDescent="0.25">
      <c r="B7" s="12">
        <v>6</v>
      </c>
      <c r="C7" s="182">
        <v>46143</v>
      </c>
      <c r="D7" s="2" t="s">
        <v>226</v>
      </c>
      <c r="E7" s="9">
        <v>46173</v>
      </c>
      <c r="F7" s="7">
        <v>-552655</v>
      </c>
      <c r="G7" s="7">
        <f>+F7*0.22</f>
        <v>-121584.1</v>
      </c>
      <c r="H7" s="7">
        <f>+F7+G7</f>
        <v>-674239.1</v>
      </c>
      <c r="I7" s="18">
        <v>1</v>
      </c>
      <c r="J7" s="7">
        <f t="shared" si="0"/>
        <v>-552655</v>
      </c>
      <c r="K7" s="7">
        <f>+F7*I7*0.05</f>
        <v>-27632.75</v>
      </c>
      <c r="L7" s="7">
        <f>+F7*I7-K7</f>
        <v>-525022.25</v>
      </c>
      <c r="M7" s="189">
        <f>+L7+L8</f>
        <v>-421910.2</v>
      </c>
      <c r="N7" s="189">
        <f>+M7</f>
        <v>-421910.2</v>
      </c>
      <c r="O7" s="189">
        <f>+M7-N7</f>
        <v>0</v>
      </c>
      <c r="P7" s="199">
        <v>46198</v>
      </c>
      <c r="Q7" s="2">
        <v>17</v>
      </c>
      <c r="R7" s="195" t="s">
        <v>232</v>
      </c>
      <c r="U7" s="7" t="s">
        <v>7</v>
      </c>
      <c r="V7" s="7">
        <f>+N11</f>
        <v>432683.77000000008</v>
      </c>
    </row>
    <row r="8" spans="2:35" x14ac:dyDescent="0.25">
      <c r="B8" s="12">
        <v>13</v>
      </c>
      <c r="C8" s="183"/>
      <c r="D8" s="2" t="s">
        <v>225</v>
      </c>
      <c r="E8" s="9">
        <v>46173</v>
      </c>
      <c r="F8" s="7">
        <v>164347.58999999997</v>
      </c>
      <c r="G8" s="7">
        <f>+F8*0.22</f>
        <v>36156.469799999992</v>
      </c>
      <c r="H8" s="7">
        <f>+F8+G8</f>
        <v>200504.05979999996</v>
      </c>
      <c r="I8" s="18">
        <v>0.66042343547599336</v>
      </c>
      <c r="J8" s="7">
        <f t="shared" si="0"/>
        <v>108538.99999999999</v>
      </c>
      <c r="K8" s="7">
        <f>+F8*I8*0.05</f>
        <v>5426.95</v>
      </c>
      <c r="L8" s="7">
        <f>+F8*I8-K8</f>
        <v>103112.04999999999</v>
      </c>
      <c r="M8" s="189"/>
      <c r="N8" s="189"/>
      <c r="O8" s="189"/>
      <c r="P8" s="200"/>
      <c r="Q8" s="2">
        <v>17</v>
      </c>
      <c r="R8" s="195"/>
    </row>
    <row r="9" spans="2:35" x14ac:dyDescent="0.25">
      <c r="B9" s="13"/>
    </row>
    <row r="10" spans="2:35" x14ac:dyDescent="0.25">
      <c r="B10" s="13"/>
    </row>
    <row r="11" spans="2:35" x14ac:dyDescent="0.25">
      <c r="B11" s="13"/>
      <c r="F11" s="22">
        <f>SUM(F4:F9)</f>
        <v>557349.37993839814</v>
      </c>
      <c r="G11" s="22">
        <f>SUM(G4:G9)</f>
        <v>122616.86358644761</v>
      </c>
      <c r="H11" s="22">
        <f>SUM(H4:H9)</f>
        <v>679966.24352484581</v>
      </c>
      <c r="J11" s="22">
        <f>SUM(J4:J9)</f>
        <v>455456.06003335782</v>
      </c>
      <c r="K11" s="22">
        <f t="shared" ref="K11:L11" si="1">SUM(K4:K9)</f>
        <v>22772.803001667893</v>
      </c>
      <c r="L11" s="22">
        <f t="shared" si="1"/>
        <v>432683.25703168992</v>
      </c>
      <c r="M11" s="22"/>
      <c r="N11" s="22">
        <f>SUM(N4:N9)</f>
        <v>432683.77000000008</v>
      </c>
      <c r="Q11" s="19"/>
    </row>
    <row r="12" spans="2:35" x14ac:dyDescent="0.25">
      <c r="B12" s="13"/>
      <c r="D12" s="10"/>
      <c r="E12" s="10"/>
    </row>
    <row r="13" spans="2:35" x14ac:dyDescent="0.25">
      <c r="B13" s="13"/>
      <c r="D13" s="10"/>
      <c r="E13" s="10"/>
    </row>
    <row r="14" spans="2:35" x14ac:dyDescent="0.25">
      <c r="B14" s="13"/>
      <c r="D14" s="10"/>
      <c r="E14" s="10"/>
    </row>
    <row r="15" spans="2:35" x14ac:dyDescent="0.25">
      <c r="B15" s="13"/>
      <c r="D15" s="19"/>
      <c r="E15" s="19"/>
    </row>
    <row r="17" spans="8:21" x14ac:dyDescent="0.25">
      <c r="L17" s="19"/>
      <c r="M17" s="19"/>
      <c r="N17" s="8"/>
      <c r="Q17" s="19"/>
    </row>
    <row r="18" spans="8:21" x14ac:dyDescent="0.25">
      <c r="N18" s="8"/>
      <c r="Q18" s="19"/>
    </row>
    <row r="19" spans="8:21" x14ac:dyDescent="0.25">
      <c r="N19" s="8"/>
      <c r="Q19" s="19"/>
    </row>
    <row r="20" spans="8:21" x14ac:dyDescent="0.25">
      <c r="L20" s="17"/>
      <c r="M20" s="17"/>
      <c r="N20" s="8"/>
      <c r="Q20" s="19"/>
    </row>
    <row r="21" spans="8:21" x14ac:dyDescent="0.25">
      <c r="L21" s="17"/>
      <c r="M21" s="17"/>
      <c r="N21" s="8"/>
      <c r="Q21" s="19"/>
    </row>
    <row r="22" spans="8:21" x14ac:dyDescent="0.25">
      <c r="L22" s="19"/>
      <c r="M22" s="19"/>
      <c r="N22" s="8"/>
      <c r="Q22" s="19"/>
    </row>
    <row r="23" spans="8:21" ht="18.75" x14ac:dyDescent="0.25">
      <c r="H23" s="125"/>
      <c r="L23" s="19"/>
      <c r="M23" s="19"/>
      <c r="N23" s="8"/>
      <c r="Q23" s="19"/>
    </row>
    <row r="24" spans="8:21" x14ac:dyDescent="0.25">
      <c r="N24" s="8"/>
      <c r="Q24" s="19"/>
    </row>
    <row r="25" spans="8:21" x14ac:dyDescent="0.25">
      <c r="N25" s="8"/>
      <c r="Q25" s="19"/>
    </row>
    <row r="26" spans="8:21" x14ac:dyDescent="0.25">
      <c r="N26" s="8"/>
      <c r="Q26" s="19"/>
    </row>
    <row r="27" spans="8:21" x14ac:dyDescent="0.25">
      <c r="Q27" s="19"/>
    </row>
    <row r="29" spans="8:21" x14ac:dyDescent="0.25">
      <c r="Q29" s="19"/>
    </row>
    <row r="30" spans="8:21" x14ac:dyDescent="0.25">
      <c r="Q30" s="19"/>
    </row>
    <row r="31" spans="8:21" ht="18.75" x14ac:dyDescent="0.25">
      <c r="U31" s="125"/>
    </row>
    <row r="34" spans="13:13" x14ac:dyDescent="0.25">
      <c r="M34" s="1" t="s">
        <v>227</v>
      </c>
    </row>
  </sheetData>
  <mergeCells count="24">
    <mergeCell ref="AA2:AF2"/>
    <mergeCell ref="AH2:AI2"/>
    <mergeCell ref="N7:N8"/>
    <mergeCell ref="O7:O8"/>
    <mergeCell ref="R4:R5"/>
    <mergeCell ref="U2:V2"/>
    <mergeCell ref="P7:P8"/>
    <mergeCell ref="R7:R8"/>
    <mergeCell ref="N2:N3"/>
    <mergeCell ref="O2:O3"/>
    <mergeCell ref="Q2:Q3"/>
    <mergeCell ref="R2:R3"/>
    <mergeCell ref="P2:P3"/>
    <mergeCell ref="B2:B3"/>
    <mergeCell ref="E2:E3"/>
    <mergeCell ref="C2:C3"/>
    <mergeCell ref="C4:C5"/>
    <mergeCell ref="D2:D3"/>
    <mergeCell ref="C7:C8"/>
    <mergeCell ref="I2:M2"/>
    <mergeCell ref="L3:M3"/>
    <mergeCell ref="M4:M5"/>
    <mergeCell ref="M7:M8"/>
    <mergeCell ref="F2:H2"/>
  </mergeCells>
  <phoneticPr fontId="3" type="noConversion"/>
  <pageMargins left="0.7" right="0.7" top="0.75" bottom="0.75" header="0.3" footer="0.3"/>
  <pageSetup paperSize="9" scale="74" orientation="landscape" r:id="rId1"/>
  <ignoredErrors>
    <ignoredError sqref="R4 R6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DE6A-B9D9-4796-82CC-763CCBC70AF0}">
  <sheetPr codeName="Hoja6">
    <tabColor theme="5" tint="0.79998168889431442"/>
  </sheetPr>
  <dimension ref="B2:AD13"/>
  <sheetViews>
    <sheetView zoomScale="78" workbookViewId="0">
      <selection activeCell="O12" sqref="O12"/>
    </sheetView>
  </sheetViews>
  <sheetFormatPr baseColWidth="10" defaultColWidth="11.42578125" defaultRowHeight="15" x14ac:dyDescent="0.25"/>
  <cols>
    <col min="1" max="1" width="11.42578125" style="1"/>
    <col min="2" max="2" width="7.85546875" style="1" customWidth="1"/>
    <col min="3" max="7" width="11.42578125" style="1"/>
    <col min="8" max="8" width="14.85546875" style="1" bestFit="1" customWidth="1"/>
    <col min="9" max="9" width="14.85546875" style="1" customWidth="1"/>
    <col min="10" max="10" width="11.42578125" style="1"/>
    <col min="11" max="11" width="14.85546875" style="1" bestFit="1" customWidth="1"/>
    <col min="12" max="12" width="14.85546875" style="1" customWidth="1"/>
    <col min="13" max="17" width="11.42578125" style="1"/>
    <col min="18" max="18" width="49.28515625" style="1" bestFit="1" customWidth="1"/>
    <col min="19" max="20" width="11.42578125" style="1"/>
    <col min="21" max="21" width="18" style="1" bestFit="1" customWidth="1"/>
    <col min="22" max="26" width="11.42578125" style="1"/>
    <col min="27" max="27" width="19.140625" style="1" bestFit="1" customWidth="1"/>
    <col min="28" max="16384" width="11.42578125" style="1"/>
  </cols>
  <sheetData>
    <row r="2" spans="2:30" x14ac:dyDescent="0.25">
      <c r="B2" s="190" t="s">
        <v>59</v>
      </c>
      <c r="C2" s="190" t="s">
        <v>1</v>
      </c>
      <c r="D2" s="190" t="s">
        <v>2</v>
      </c>
      <c r="E2" s="190" t="s">
        <v>43</v>
      </c>
      <c r="F2" s="190"/>
      <c r="G2" s="190"/>
      <c r="H2" s="150" t="s">
        <v>44</v>
      </c>
      <c r="I2" s="184"/>
      <c r="J2" s="184"/>
      <c r="K2" s="184"/>
      <c r="L2" s="151"/>
      <c r="M2" s="201" t="s">
        <v>7</v>
      </c>
      <c r="N2" s="201" t="s">
        <v>8</v>
      </c>
      <c r="O2" s="202" t="s">
        <v>15</v>
      </c>
      <c r="P2" s="190" t="s">
        <v>17</v>
      </c>
      <c r="Q2" s="190" t="s">
        <v>18</v>
      </c>
      <c r="R2" s="190" t="s">
        <v>12</v>
      </c>
    </row>
    <row r="3" spans="2:30" x14ac:dyDescent="0.25">
      <c r="B3" s="190"/>
      <c r="C3" s="190"/>
      <c r="D3" s="190"/>
      <c r="E3" s="21" t="s">
        <v>3</v>
      </c>
      <c r="F3" s="21" t="s">
        <v>4</v>
      </c>
      <c r="G3" s="21" t="s">
        <v>5</v>
      </c>
      <c r="H3" s="21" t="s">
        <v>45</v>
      </c>
      <c r="I3" s="21" t="s">
        <v>3</v>
      </c>
      <c r="J3" s="21" t="s">
        <v>46</v>
      </c>
      <c r="K3" s="185" t="s">
        <v>6</v>
      </c>
      <c r="L3" s="186"/>
      <c r="M3" s="201"/>
      <c r="N3" s="201"/>
      <c r="O3" s="203"/>
      <c r="P3" s="190"/>
      <c r="Q3" s="190"/>
      <c r="R3" s="190"/>
      <c r="U3" s="198" t="s">
        <v>245</v>
      </c>
      <c r="V3" s="198"/>
      <c r="Y3" s="195" t="s">
        <v>304</v>
      </c>
      <c r="Z3" s="195"/>
      <c r="AA3" s="195"/>
      <c r="AC3" s="195" t="s">
        <v>301</v>
      </c>
      <c r="AD3" s="195"/>
    </row>
    <row r="4" spans="2:30" ht="15" customHeight="1" x14ac:dyDescent="0.25">
      <c r="B4" s="166">
        <v>5</v>
      </c>
      <c r="C4" s="211">
        <v>46082</v>
      </c>
      <c r="D4" s="166" t="s">
        <v>185</v>
      </c>
      <c r="E4" s="7">
        <v>111468</v>
      </c>
      <c r="F4" s="7">
        <f t="shared" ref="F4:F9" si="0">+E4*0.22</f>
        <v>24522.959999999999</v>
      </c>
      <c r="G4" s="7">
        <f t="shared" ref="G4:G9" si="1">+E4+F4</f>
        <v>135990.96</v>
      </c>
      <c r="H4" s="18">
        <v>0.79632509866572498</v>
      </c>
      <c r="I4" s="7">
        <f>+E4*H4</f>
        <v>88764.766098071035</v>
      </c>
      <c r="J4" s="7">
        <f>I4*0.05</f>
        <v>4438.2383049035516</v>
      </c>
      <c r="K4" s="7">
        <f>+E4*H4-J4</f>
        <v>84326.527793167479</v>
      </c>
      <c r="L4" s="187">
        <f>+K4+K5</f>
        <v>84853.966913182536</v>
      </c>
      <c r="M4" s="204">
        <f>+K4+K5</f>
        <v>84853.966913182536</v>
      </c>
      <c r="N4" s="204">
        <f>+K4+K5-M4</f>
        <v>0</v>
      </c>
      <c r="O4" s="180">
        <v>46141</v>
      </c>
      <c r="P4" s="166">
        <v>15</v>
      </c>
      <c r="Q4" s="12">
        <v>108</v>
      </c>
      <c r="R4" s="2" t="s">
        <v>172</v>
      </c>
      <c r="U4" s="7" t="s">
        <v>251</v>
      </c>
      <c r="V4" s="90">
        <f>+E13</f>
        <v>472645.23862047074</v>
      </c>
      <c r="Y4" s="126" t="s">
        <v>291</v>
      </c>
      <c r="Z4" s="126" t="s">
        <v>302</v>
      </c>
      <c r="AA4" s="126" t="s">
        <v>303</v>
      </c>
      <c r="AC4" s="126" t="s">
        <v>291</v>
      </c>
      <c r="AD4" s="126" t="s">
        <v>3</v>
      </c>
    </row>
    <row r="5" spans="2:30" x14ac:dyDescent="0.25">
      <c r="B5" s="166"/>
      <c r="C5" s="211"/>
      <c r="D5" s="166"/>
      <c r="E5" s="7">
        <v>6693.3096551176686</v>
      </c>
      <c r="F5" s="7">
        <f t="shared" si="0"/>
        <v>1472.5281241258872</v>
      </c>
      <c r="G5" s="7">
        <f t="shared" si="1"/>
        <v>8165.8377792435558</v>
      </c>
      <c r="H5" s="18">
        <v>8.2948362216523353E-2</v>
      </c>
      <c r="I5" s="7">
        <f>+E5*H5</f>
        <v>555.19907370005342</v>
      </c>
      <c r="J5" s="7">
        <f>I5*0.05</f>
        <v>27.759953685002671</v>
      </c>
      <c r="K5" s="7">
        <f>+E5*H5-J5</f>
        <v>527.43912001505078</v>
      </c>
      <c r="L5" s="210"/>
      <c r="M5" s="166"/>
      <c r="N5" s="166"/>
      <c r="O5" s="166"/>
      <c r="P5" s="166"/>
      <c r="Q5" s="12">
        <v>109</v>
      </c>
      <c r="R5" s="2" t="s">
        <v>186</v>
      </c>
      <c r="U5" s="7" t="s">
        <v>249</v>
      </c>
      <c r="V5" s="7">
        <f>+F13</f>
        <v>103981.95249650355</v>
      </c>
      <c r="Y5" s="127" t="s">
        <v>297</v>
      </c>
      <c r="Z5" s="129">
        <f>+I4</f>
        <v>88764.766098071035</v>
      </c>
      <c r="AA5" s="128">
        <f>+I5</f>
        <v>555.19907370005342</v>
      </c>
      <c r="AC5" s="127" t="s">
        <v>297</v>
      </c>
      <c r="AD5" s="129">
        <f>+Z5+AA5</f>
        <v>89319.965171771095</v>
      </c>
    </row>
    <row r="6" spans="2:30" x14ac:dyDescent="0.25">
      <c r="B6" s="166">
        <v>5</v>
      </c>
      <c r="C6" s="182">
        <v>46113</v>
      </c>
      <c r="D6" s="209" t="s">
        <v>210</v>
      </c>
      <c r="E6" s="81">
        <v>111468</v>
      </c>
      <c r="F6" s="81">
        <f t="shared" si="0"/>
        <v>24522.959999999999</v>
      </c>
      <c r="G6" s="81">
        <f t="shared" si="1"/>
        <v>135990.96</v>
      </c>
      <c r="H6" s="82">
        <v>1.2656250000000001E-2</v>
      </c>
      <c r="I6" s="81">
        <f t="shared" ref="I6:I7" si="2">+E6*H6</f>
        <v>1410.766875</v>
      </c>
      <c r="J6" s="81">
        <f>I6*0.05</f>
        <v>70.53834375000001</v>
      </c>
      <c r="K6" s="81">
        <f>+E6*H6-J6</f>
        <v>1340.2285312500001</v>
      </c>
      <c r="L6" s="187">
        <f>+K6+K7</f>
        <v>2049.2173564683389</v>
      </c>
      <c r="M6" s="204">
        <f>+K6+K7</f>
        <v>2049.2173564683389</v>
      </c>
      <c r="N6" s="204">
        <f>+K6+K7-M6</f>
        <v>0</v>
      </c>
      <c r="O6" s="205">
        <v>46163</v>
      </c>
      <c r="P6" s="166">
        <v>16</v>
      </c>
      <c r="Q6" s="166">
        <v>113</v>
      </c>
      <c r="R6" s="207" t="s">
        <v>213</v>
      </c>
      <c r="U6" s="7" t="s">
        <v>252</v>
      </c>
      <c r="V6" s="7">
        <f>+G13</f>
        <v>576627.19111697422</v>
      </c>
      <c r="Y6" s="127" t="s">
        <v>298</v>
      </c>
      <c r="Z6" s="129">
        <f>+I6</f>
        <v>1410.766875</v>
      </c>
      <c r="AA6" s="128">
        <f>+I7</f>
        <v>746.3040265456201</v>
      </c>
      <c r="AC6" s="127" t="s">
        <v>298</v>
      </c>
      <c r="AD6" s="129">
        <f>+Z6+AA6</f>
        <v>2157.07090154562</v>
      </c>
    </row>
    <row r="7" spans="2:30" x14ac:dyDescent="0.25">
      <c r="B7" s="166"/>
      <c r="C7" s="183"/>
      <c r="D7" s="206"/>
      <c r="E7" s="81">
        <v>6693.3096551176686</v>
      </c>
      <c r="F7" s="81">
        <f t="shared" si="0"/>
        <v>1472.5281241258872</v>
      </c>
      <c r="G7" s="81">
        <f t="shared" si="1"/>
        <v>8165.8377792435558</v>
      </c>
      <c r="H7" s="82">
        <v>0.1115</v>
      </c>
      <c r="I7" s="81">
        <f t="shared" si="2"/>
        <v>746.3040265456201</v>
      </c>
      <c r="J7" s="81">
        <f>I7*0.05</f>
        <v>37.315201327281009</v>
      </c>
      <c r="K7" s="81">
        <f>+E7*H7-J7</f>
        <v>708.98882521833912</v>
      </c>
      <c r="L7" s="210"/>
      <c r="M7" s="166"/>
      <c r="N7" s="166"/>
      <c r="O7" s="206"/>
      <c r="P7" s="166"/>
      <c r="Q7" s="166"/>
      <c r="R7" s="208"/>
      <c r="U7" s="7" t="s">
        <v>247</v>
      </c>
      <c r="V7" s="7">
        <f>+J13</f>
        <v>5200.5317757272096</v>
      </c>
      <c r="Y7" s="127" t="s">
        <v>299</v>
      </c>
      <c r="Z7" s="129">
        <f>+I8</f>
        <v>9753.4499999999989</v>
      </c>
      <c r="AA7" s="128">
        <f>+I9</f>
        <v>623.07853968185111</v>
      </c>
      <c r="AC7" s="127" t="s">
        <v>299</v>
      </c>
      <c r="AD7" s="129">
        <f>+Z7+AA7</f>
        <v>10376.528539681851</v>
      </c>
    </row>
    <row r="8" spans="2:30" x14ac:dyDescent="0.25">
      <c r="B8" s="166">
        <v>5</v>
      </c>
      <c r="C8" s="182">
        <v>46143</v>
      </c>
      <c r="D8" s="209" t="s">
        <v>228</v>
      </c>
      <c r="E8" s="81">
        <v>111468</v>
      </c>
      <c r="F8" s="81">
        <f t="shared" si="0"/>
        <v>24522.959999999999</v>
      </c>
      <c r="G8" s="81">
        <f t="shared" si="1"/>
        <v>135990.96</v>
      </c>
      <c r="H8" s="82">
        <v>8.7499999999999994E-2</v>
      </c>
      <c r="I8" s="81">
        <f t="shared" ref="I8:I11" si="3">+E8*H8</f>
        <v>9753.4499999999989</v>
      </c>
      <c r="J8" s="81">
        <f t="shared" ref="J8:J11" si="4">I8*0.05</f>
        <v>487.67249999999996</v>
      </c>
      <c r="K8" s="81">
        <f t="shared" ref="K8:K11" si="5">+E8*H8-J8</f>
        <v>9265.7774999999983</v>
      </c>
      <c r="L8" s="187">
        <f>+K8+K9</f>
        <v>9857.7021126977561</v>
      </c>
      <c r="M8" s="204">
        <f>+L8</f>
        <v>9857.7021126977561</v>
      </c>
      <c r="N8" s="204">
        <f>+K8+K9-M8</f>
        <v>0</v>
      </c>
      <c r="O8" s="205">
        <v>46198</v>
      </c>
      <c r="P8" s="166">
        <v>17</v>
      </c>
      <c r="Q8" s="166">
        <v>119</v>
      </c>
      <c r="R8" s="207" t="s">
        <v>231</v>
      </c>
      <c r="U8" s="7" t="s">
        <v>7</v>
      </c>
      <c r="V8" s="7">
        <f>+M13</f>
        <v>98809.886382348632</v>
      </c>
      <c r="Z8" s="8"/>
    </row>
    <row r="9" spans="2:30" x14ac:dyDescent="0.25">
      <c r="B9" s="166"/>
      <c r="C9" s="183"/>
      <c r="D9" s="206"/>
      <c r="E9" s="81">
        <v>6693.3096551176686</v>
      </c>
      <c r="F9" s="81">
        <f t="shared" si="0"/>
        <v>1472.5281241258872</v>
      </c>
      <c r="G9" s="81">
        <f t="shared" si="1"/>
        <v>8165.8377792435558</v>
      </c>
      <c r="H9" s="82">
        <v>9.3089752571875795E-2</v>
      </c>
      <c r="I9" s="81">
        <f t="shared" si="3"/>
        <v>623.07853968185111</v>
      </c>
      <c r="J9" s="81">
        <f t="shared" si="4"/>
        <v>31.153926984092557</v>
      </c>
      <c r="K9" s="81">
        <f t="shared" si="5"/>
        <v>591.92461269775856</v>
      </c>
      <c r="L9" s="210"/>
      <c r="M9" s="166"/>
      <c r="N9" s="166"/>
      <c r="O9" s="206"/>
      <c r="P9" s="166"/>
      <c r="Q9" s="166"/>
      <c r="R9" s="208"/>
    </row>
    <row r="10" spans="2:30" x14ac:dyDescent="0.25">
      <c r="B10" s="166">
        <v>5</v>
      </c>
      <c r="C10" s="182">
        <v>46174</v>
      </c>
      <c r="D10" s="209" t="s">
        <v>313</v>
      </c>
      <c r="E10" s="81">
        <v>111468</v>
      </c>
      <c r="F10" s="81">
        <f t="shared" ref="F10:F11" si="6">+E10*0.22</f>
        <v>24522.959999999999</v>
      </c>
      <c r="G10" s="81">
        <f t="shared" ref="G10:G11" si="7">+E10+F10</f>
        <v>135990.96</v>
      </c>
      <c r="H10" s="82">
        <v>1.2656250000000001E-2</v>
      </c>
      <c r="I10" s="81">
        <f t="shared" si="3"/>
        <v>1410.766875</v>
      </c>
      <c r="J10" s="81">
        <f t="shared" si="4"/>
        <v>70.53834375000001</v>
      </c>
      <c r="K10" s="81">
        <f t="shared" si="5"/>
        <v>1340.2285312500001</v>
      </c>
      <c r="L10" s="187">
        <v>2049</v>
      </c>
      <c r="M10" s="204">
        <v>2049</v>
      </c>
      <c r="N10" s="204">
        <f>+K10+K11-M10</f>
        <v>0.21735646833894862</v>
      </c>
      <c r="O10" s="205">
        <v>46233</v>
      </c>
      <c r="P10" s="166">
        <v>18</v>
      </c>
      <c r="Q10" s="166">
        <v>126</v>
      </c>
      <c r="R10" s="207" t="s">
        <v>312</v>
      </c>
    </row>
    <row r="11" spans="2:30" x14ac:dyDescent="0.25">
      <c r="B11" s="166"/>
      <c r="C11" s="183"/>
      <c r="D11" s="206"/>
      <c r="E11" s="81">
        <v>6693.3096551176686</v>
      </c>
      <c r="F11" s="81">
        <f t="shared" si="6"/>
        <v>1472.5281241258872</v>
      </c>
      <c r="G11" s="81">
        <f t="shared" si="7"/>
        <v>8165.8377792435558</v>
      </c>
      <c r="H11" s="82">
        <v>0.1115</v>
      </c>
      <c r="I11" s="81">
        <f t="shared" si="3"/>
        <v>746.3040265456201</v>
      </c>
      <c r="J11" s="81">
        <f t="shared" si="4"/>
        <v>37.315201327281009</v>
      </c>
      <c r="K11" s="81">
        <f t="shared" si="5"/>
        <v>708.98882521833912</v>
      </c>
      <c r="L11" s="210"/>
      <c r="M11" s="166"/>
      <c r="N11" s="166"/>
      <c r="O11" s="206"/>
      <c r="P11" s="166"/>
      <c r="Q11" s="166"/>
      <c r="R11" s="208"/>
    </row>
    <row r="12" spans="2:30" x14ac:dyDescent="0.25">
      <c r="B12" s="13"/>
      <c r="N12" s="22"/>
      <c r="Q12" s="19"/>
    </row>
    <row r="13" spans="2:30" x14ac:dyDescent="0.25">
      <c r="E13" s="22">
        <f>SUM(E4:E11)</f>
        <v>472645.23862047074</v>
      </c>
      <c r="F13" s="22">
        <f>SUM(F4:F11)</f>
        <v>103981.95249650355</v>
      </c>
      <c r="G13" s="22">
        <f>SUM(G4:G11)</f>
        <v>576627.19111697422</v>
      </c>
      <c r="H13" s="22"/>
      <c r="I13" s="22"/>
      <c r="J13" s="22">
        <f>SUM(J4:J11)</f>
        <v>5200.5317757272096</v>
      </c>
      <c r="K13" s="22"/>
      <c r="L13" s="22"/>
      <c r="M13" s="22">
        <f>SUM(M4:M11)</f>
        <v>98809.886382348632</v>
      </c>
    </row>
  </sheetData>
  <mergeCells count="53">
    <mergeCell ref="Y3:AA3"/>
    <mergeCell ref="AC3:AD3"/>
    <mergeCell ref="O8:O9"/>
    <mergeCell ref="P8:P9"/>
    <mergeCell ref="Q8:Q9"/>
    <mergeCell ref="R8:R9"/>
    <mergeCell ref="R6:R7"/>
    <mergeCell ref="U3:V3"/>
    <mergeCell ref="R2:R3"/>
    <mergeCell ref="P6:P7"/>
    <mergeCell ref="Q6:Q7"/>
    <mergeCell ref="O2:O3"/>
    <mergeCell ref="P2:P3"/>
    <mergeCell ref="Q2:Q3"/>
    <mergeCell ref="O4:O5"/>
    <mergeCell ref="P4:P5"/>
    <mergeCell ref="B8:B9"/>
    <mergeCell ref="C8:C9"/>
    <mergeCell ref="D8:D9"/>
    <mergeCell ref="M8:M9"/>
    <mergeCell ref="N8:N9"/>
    <mergeCell ref="L8:L9"/>
    <mergeCell ref="B6:B7"/>
    <mergeCell ref="C6:C7"/>
    <mergeCell ref="D6:D7"/>
    <mergeCell ref="N6:N7"/>
    <mergeCell ref="O6:O7"/>
    <mergeCell ref="M6:M7"/>
    <mergeCell ref="L6:L7"/>
    <mergeCell ref="B2:B3"/>
    <mergeCell ref="C2:C3"/>
    <mergeCell ref="D2:D3"/>
    <mergeCell ref="E2:G2"/>
    <mergeCell ref="N2:N3"/>
    <mergeCell ref="H2:L2"/>
    <mergeCell ref="K3:L3"/>
    <mergeCell ref="M2:M3"/>
    <mergeCell ref="B4:B5"/>
    <mergeCell ref="C4:C5"/>
    <mergeCell ref="D4:D5"/>
    <mergeCell ref="M4:M5"/>
    <mergeCell ref="N4:N5"/>
    <mergeCell ref="L4:L5"/>
    <mergeCell ref="B10:B11"/>
    <mergeCell ref="C10:C11"/>
    <mergeCell ref="D10:D11"/>
    <mergeCell ref="L10:L11"/>
    <mergeCell ref="M10:M11"/>
    <mergeCell ref="N10:N11"/>
    <mergeCell ref="O10:O11"/>
    <mergeCell ref="P10:P11"/>
    <mergeCell ref="Q10:Q11"/>
    <mergeCell ref="R10:R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2C73-9918-4906-A858-BB9273BFFDF4}">
  <sheetPr codeName="Hoja8">
    <tabColor theme="5" tint="0.79998168889431442"/>
  </sheetPr>
  <dimension ref="B2:AD13"/>
  <sheetViews>
    <sheetView workbookViewId="0">
      <selection activeCell="L33" sqref="L33"/>
    </sheetView>
  </sheetViews>
  <sheetFormatPr baseColWidth="10" defaultColWidth="11.42578125" defaultRowHeight="15" x14ac:dyDescent="0.25"/>
  <cols>
    <col min="1" max="1" width="11.42578125" style="1"/>
    <col min="2" max="2" width="8.28515625" style="1" customWidth="1"/>
    <col min="3" max="7" width="11.42578125" style="1"/>
    <col min="8" max="8" width="14.85546875" style="1" bestFit="1" customWidth="1"/>
    <col min="9" max="9" width="14.85546875" style="1" customWidth="1"/>
    <col min="10" max="10" width="11.42578125" style="1"/>
    <col min="11" max="11" width="14.85546875" style="1" bestFit="1" customWidth="1"/>
    <col min="12" max="12" width="14.85546875" style="1" customWidth="1"/>
    <col min="13" max="16" width="11.42578125" style="1"/>
    <col min="17" max="17" width="60.140625" style="1" customWidth="1"/>
    <col min="18" max="19" width="11.42578125" style="1"/>
    <col min="20" max="20" width="18" style="1" bestFit="1" customWidth="1"/>
    <col min="21" max="26" width="11.42578125" style="1"/>
    <col min="27" max="27" width="19.140625" style="1" bestFit="1" customWidth="1"/>
    <col min="28" max="16384" width="11.42578125" style="1"/>
  </cols>
  <sheetData>
    <row r="2" spans="2:30" x14ac:dyDescent="0.25">
      <c r="B2" s="190" t="s">
        <v>59</v>
      </c>
      <c r="C2" s="190" t="s">
        <v>1</v>
      </c>
      <c r="D2" s="190" t="s">
        <v>2</v>
      </c>
      <c r="E2" s="190" t="s">
        <v>43</v>
      </c>
      <c r="F2" s="190"/>
      <c r="G2" s="190"/>
      <c r="H2" s="150" t="s">
        <v>44</v>
      </c>
      <c r="I2" s="184"/>
      <c r="J2" s="184"/>
      <c r="K2" s="184"/>
      <c r="L2" s="151"/>
      <c r="M2" s="201" t="s">
        <v>7</v>
      </c>
      <c r="N2" s="201" t="s">
        <v>8</v>
      </c>
      <c r="O2" s="202" t="s">
        <v>15</v>
      </c>
      <c r="P2" s="190" t="s">
        <v>18</v>
      </c>
      <c r="Q2" s="190" t="s">
        <v>173</v>
      </c>
    </row>
    <row r="3" spans="2:30" x14ac:dyDescent="0.25">
      <c r="B3" s="190"/>
      <c r="C3" s="190"/>
      <c r="D3" s="190"/>
      <c r="E3" s="21" t="s">
        <v>3</v>
      </c>
      <c r="F3" s="21" t="s">
        <v>4</v>
      </c>
      <c r="G3" s="21" t="s">
        <v>5</v>
      </c>
      <c r="H3" s="21" t="s">
        <v>45</v>
      </c>
      <c r="I3" s="21" t="s">
        <v>3</v>
      </c>
      <c r="J3" s="21" t="s">
        <v>46</v>
      </c>
      <c r="K3" s="185" t="s">
        <v>6</v>
      </c>
      <c r="L3" s="186"/>
      <c r="M3" s="201"/>
      <c r="N3" s="201"/>
      <c r="O3" s="203"/>
      <c r="P3" s="190"/>
      <c r="Q3" s="190"/>
      <c r="T3" s="198" t="s">
        <v>245</v>
      </c>
      <c r="U3" s="198"/>
      <c r="Y3" s="195" t="s">
        <v>304</v>
      </c>
      <c r="Z3" s="195"/>
      <c r="AA3" s="195"/>
      <c r="AC3" s="195" t="s">
        <v>301</v>
      </c>
      <c r="AD3" s="195"/>
    </row>
    <row r="4" spans="2:30" x14ac:dyDescent="0.25">
      <c r="B4" s="209">
        <v>5</v>
      </c>
      <c r="C4" s="182">
        <v>46082</v>
      </c>
      <c r="D4" s="209" t="s">
        <v>189</v>
      </c>
      <c r="E4" s="7">
        <v>-111468</v>
      </c>
      <c r="F4" s="7">
        <v>0</v>
      </c>
      <c r="G4" s="7">
        <f>+E4+F4</f>
        <v>-111468</v>
      </c>
      <c r="H4" s="18">
        <v>0.79632509866572498</v>
      </c>
      <c r="I4" s="7">
        <f t="shared" ref="I4:I11" si="0">+E4*H4</f>
        <v>-88764.766098071035</v>
      </c>
      <c r="J4" s="7">
        <f t="shared" ref="J4:J9" si="1">+I4*0.05</f>
        <v>-4438.2383049035516</v>
      </c>
      <c r="K4" s="7">
        <f t="shared" ref="K4:K11" si="2">+E4*H4-J4</f>
        <v>-84326.527793167479</v>
      </c>
      <c r="L4" s="187">
        <f>+K4+K5</f>
        <v>-84853.966913182536</v>
      </c>
      <c r="M4" s="204">
        <f>+K4+K5</f>
        <v>-84853.966913182536</v>
      </c>
      <c r="N4" s="204">
        <f>+K4+K5-M4</f>
        <v>0</v>
      </c>
      <c r="O4" s="180">
        <v>46141</v>
      </c>
      <c r="P4" s="2" t="s">
        <v>174</v>
      </c>
      <c r="Q4" s="2" t="s">
        <v>188</v>
      </c>
      <c r="T4" s="7" t="s">
        <v>251</v>
      </c>
      <c r="U4" s="90">
        <f>+E13</f>
        <v>-472645.23862047074</v>
      </c>
      <c r="Y4" s="126" t="s">
        <v>291</v>
      </c>
      <c r="Z4" s="126" t="s">
        <v>302</v>
      </c>
      <c r="AA4" s="126" t="s">
        <v>303</v>
      </c>
      <c r="AC4" s="126" t="s">
        <v>291</v>
      </c>
      <c r="AD4" s="126" t="s">
        <v>3</v>
      </c>
    </row>
    <row r="5" spans="2:30" x14ac:dyDescent="0.25">
      <c r="B5" s="206"/>
      <c r="C5" s="183"/>
      <c r="D5" s="206"/>
      <c r="E5" s="7">
        <v>-6693.3096551176686</v>
      </c>
      <c r="F5" s="7">
        <v>0</v>
      </c>
      <c r="G5" s="7">
        <f>+E5</f>
        <v>-6693.3096551176686</v>
      </c>
      <c r="H5" s="18">
        <v>8.2948362216523353E-2</v>
      </c>
      <c r="I5" s="7">
        <f t="shared" si="0"/>
        <v>-555.19907370005342</v>
      </c>
      <c r="J5" s="7">
        <f t="shared" si="1"/>
        <v>-27.759953685002671</v>
      </c>
      <c r="K5" s="7">
        <f t="shared" si="2"/>
        <v>-527.43912001505078</v>
      </c>
      <c r="L5" s="210"/>
      <c r="M5" s="166"/>
      <c r="N5" s="166"/>
      <c r="O5" s="166"/>
      <c r="P5" s="2" t="s">
        <v>187</v>
      </c>
      <c r="Q5" s="2" t="s">
        <v>186</v>
      </c>
      <c r="T5" s="7" t="s">
        <v>249</v>
      </c>
      <c r="U5" s="7">
        <f>+F13</f>
        <v>-25995.488124125888</v>
      </c>
      <c r="Y5" s="127" t="s">
        <v>297</v>
      </c>
      <c r="Z5" s="129">
        <f>+I4</f>
        <v>-88764.766098071035</v>
      </c>
      <c r="AA5" s="128">
        <f>+I5</f>
        <v>-555.19907370005342</v>
      </c>
      <c r="AC5" s="127" t="s">
        <v>297</v>
      </c>
      <c r="AD5" s="129">
        <f>+Z5+AA5</f>
        <v>-89319.965171771095</v>
      </c>
    </row>
    <row r="6" spans="2:30" x14ac:dyDescent="0.25">
      <c r="B6" s="209">
        <v>5</v>
      </c>
      <c r="C6" s="182">
        <v>46113</v>
      </c>
      <c r="D6" s="209" t="s">
        <v>214</v>
      </c>
      <c r="E6" s="81">
        <v>-111468</v>
      </c>
      <c r="F6" s="81">
        <v>0</v>
      </c>
      <c r="G6" s="81">
        <f>+E6+F6</f>
        <v>-111468</v>
      </c>
      <c r="H6" s="82">
        <v>1.2656250000000001E-2</v>
      </c>
      <c r="I6" s="7">
        <f t="shared" si="0"/>
        <v>-1410.766875</v>
      </c>
      <c r="J6" s="7">
        <f t="shared" si="1"/>
        <v>-70.53834375000001</v>
      </c>
      <c r="K6" s="7">
        <f t="shared" si="2"/>
        <v>-1340.2285312500001</v>
      </c>
      <c r="L6" s="187">
        <f>+K6+K7</f>
        <v>-2049.2173564683394</v>
      </c>
      <c r="M6" s="204">
        <f>+K6+K7</f>
        <v>-2049.2173564683394</v>
      </c>
      <c r="N6" s="204">
        <f>+K6+K7-M6</f>
        <v>0</v>
      </c>
      <c r="O6" s="180">
        <v>46163</v>
      </c>
      <c r="P6" s="157" t="s">
        <v>215</v>
      </c>
      <c r="Q6" s="207" t="s">
        <v>213</v>
      </c>
      <c r="T6" s="7" t="s">
        <v>252</v>
      </c>
      <c r="U6" s="7">
        <f>+G13</f>
        <v>-498640.72674459656</v>
      </c>
      <c r="Y6" s="127" t="s">
        <v>298</v>
      </c>
      <c r="Z6" s="129">
        <f>+I6</f>
        <v>-1410.766875</v>
      </c>
      <c r="AA6" s="128">
        <f>+I7</f>
        <v>-746.30402654562022</v>
      </c>
      <c r="AC6" s="127" t="s">
        <v>298</v>
      </c>
      <c r="AD6" s="129">
        <f>+Z6+AA6</f>
        <v>-2157.0709015456205</v>
      </c>
    </row>
    <row r="7" spans="2:30" x14ac:dyDescent="0.25">
      <c r="B7" s="206"/>
      <c r="C7" s="183"/>
      <c r="D7" s="206"/>
      <c r="E7" s="81">
        <v>-6693.3096551176704</v>
      </c>
      <c r="F7" s="81">
        <v>0</v>
      </c>
      <c r="G7" s="81">
        <f>+E7+F7</f>
        <v>-6693.3096551176704</v>
      </c>
      <c r="H7" s="82">
        <v>0.1115</v>
      </c>
      <c r="I7" s="7">
        <f t="shared" si="0"/>
        <v>-746.30402654562022</v>
      </c>
      <c r="J7" s="7">
        <f t="shared" si="1"/>
        <v>-37.315201327281009</v>
      </c>
      <c r="K7" s="7">
        <f t="shared" si="2"/>
        <v>-708.98882521833923</v>
      </c>
      <c r="L7" s="210"/>
      <c r="M7" s="166"/>
      <c r="N7" s="166"/>
      <c r="O7" s="166"/>
      <c r="P7" s="157"/>
      <c r="Q7" s="208"/>
      <c r="T7" s="7" t="s">
        <v>247</v>
      </c>
      <c r="U7" s="7">
        <f>+J13</f>
        <v>-5200.5317757272096</v>
      </c>
      <c r="Y7" s="127" t="s">
        <v>299</v>
      </c>
      <c r="Z7" s="129">
        <f>+I8</f>
        <v>-9753.4499999999989</v>
      </c>
      <c r="AA7" s="128">
        <f>+I9</f>
        <v>-623.07853968185123</v>
      </c>
      <c r="AC7" s="127" t="s">
        <v>299</v>
      </c>
      <c r="AD7" s="129">
        <f>+Z7+AA7</f>
        <v>-10376.528539681851</v>
      </c>
    </row>
    <row r="8" spans="2:30" x14ac:dyDescent="0.25">
      <c r="B8" s="209">
        <v>5</v>
      </c>
      <c r="C8" s="182">
        <v>46143</v>
      </c>
      <c r="D8" s="209" t="s">
        <v>229</v>
      </c>
      <c r="E8" s="81">
        <v>-111468</v>
      </c>
      <c r="F8" s="81">
        <v>0</v>
      </c>
      <c r="G8" s="81">
        <f>+E8+F8</f>
        <v>-111468</v>
      </c>
      <c r="H8" s="82">
        <v>8.7499999999999994E-2</v>
      </c>
      <c r="I8" s="7">
        <f t="shared" si="0"/>
        <v>-9753.4499999999989</v>
      </c>
      <c r="J8" s="7">
        <f t="shared" si="1"/>
        <v>-487.67249999999996</v>
      </c>
      <c r="K8" s="7">
        <f t="shared" si="2"/>
        <v>-9265.7774999999983</v>
      </c>
      <c r="L8" s="187">
        <f>+K8+K9</f>
        <v>-9857.7021126977561</v>
      </c>
      <c r="M8" s="204">
        <f>+L8</f>
        <v>-9857.7021126977561</v>
      </c>
      <c r="N8" s="204">
        <f>+K8+K9-M8</f>
        <v>0</v>
      </c>
      <c r="O8" s="180">
        <v>46198</v>
      </c>
      <c r="P8" s="157" t="s">
        <v>230</v>
      </c>
      <c r="Q8" s="207" t="s">
        <v>231</v>
      </c>
      <c r="T8" s="7" t="s">
        <v>7</v>
      </c>
      <c r="U8" s="7">
        <f>+M13</f>
        <v>-98809.886382348632</v>
      </c>
    </row>
    <row r="9" spans="2:30" x14ac:dyDescent="0.25">
      <c r="B9" s="206"/>
      <c r="C9" s="183"/>
      <c r="D9" s="206"/>
      <c r="E9" s="81">
        <v>-6693.3096551176704</v>
      </c>
      <c r="F9" s="81">
        <v>0</v>
      </c>
      <c r="G9" s="81">
        <f>+E9+F9</f>
        <v>-6693.3096551176704</v>
      </c>
      <c r="H9" s="82">
        <v>9.3089752571875795E-2</v>
      </c>
      <c r="I9" s="7">
        <f t="shared" si="0"/>
        <v>-623.07853968185123</v>
      </c>
      <c r="J9" s="7">
        <f t="shared" si="1"/>
        <v>-31.153926984092564</v>
      </c>
      <c r="K9" s="7">
        <f t="shared" si="2"/>
        <v>-591.92461269775868</v>
      </c>
      <c r="L9" s="210"/>
      <c r="M9" s="166"/>
      <c r="N9" s="166"/>
      <c r="O9" s="166"/>
      <c r="P9" s="157"/>
      <c r="Q9" s="208"/>
    </row>
    <row r="10" spans="2:30" x14ac:dyDescent="0.25">
      <c r="B10" s="166">
        <v>5</v>
      </c>
      <c r="C10" s="182">
        <v>46174</v>
      </c>
      <c r="D10" s="209" t="s">
        <v>314</v>
      </c>
      <c r="E10" s="81">
        <v>-111468</v>
      </c>
      <c r="F10" s="81">
        <f t="shared" ref="F10:F11" si="3">+E10*0.22</f>
        <v>-24522.959999999999</v>
      </c>
      <c r="G10" s="81">
        <f t="shared" ref="G10:G11" si="4">+E10+F10</f>
        <v>-135990.96</v>
      </c>
      <c r="H10" s="82">
        <v>1.2656250000000001E-2</v>
      </c>
      <c r="I10" s="81">
        <f t="shared" si="0"/>
        <v>-1410.766875</v>
      </c>
      <c r="J10" s="81">
        <f t="shared" ref="J10:J11" si="5">I10*0.05</f>
        <v>-70.53834375000001</v>
      </c>
      <c r="K10" s="81">
        <f t="shared" si="2"/>
        <v>-1340.2285312500001</v>
      </c>
      <c r="L10" s="187">
        <f>+K10+K11</f>
        <v>-2049.2173564683394</v>
      </c>
      <c r="M10" s="204">
        <v>-2049</v>
      </c>
      <c r="N10" s="204">
        <f>+K10+K11-M10</f>
        <v>-0.21735646833940336</v>
      </c>
      <c r="O10" s="205">
        <v>46233</v>
      </c>
      <c r="P10" s="157" t="s">
        <v>325</v>
      </c>
      <c r="Q10" s="207" t="s">
        <v>312</v>
      </c>
    </row>
    <row r="11" spans="2:30" x14ac:dyDescent="0.25">
      <c r="B11" s="166"/>
      <c r="C11" s="183"/>
      <c r="D11" s="206"/>
      <c r="E11" s="81">
        <v>-6693.3096551176704</v>
      </c>
      <c r="F11" s="81">
        <f t="shared" si="3"/>
        <v>-1472.5281241258874</v>
      </c>
      <c r="G11" s="81">
        <f t="shared" si="4"/>
        <v>-8165.8377792435576</v>
      </c>
      <c r="H11" s="82">
        <v>0.1115</v>
      </c>
      <c r="I11" s="81">
        <f t="shared" si="0"/>
        <v>-746.30402654562022</v>
      </c>
      <c r="J11" s="81">
        <f t="shared" si="5"/>
        <v>-37.315201327281009</v>
      </c>
      <c r="K11" s="81">
        <f t="shared" si="2"/>
        <v>-708.98882521833923</v>
      </c>
      <c r="L11" s="210"/>
      <c r="M11" s="166"/>
      <c r="N11" s="166"/>
      <c r="O11" s="206"/>
      <c r="P11" s="157"/>
      <c r="Q11" s="208"/>
    </row>
    <row r="12" spans="2:30" x14ac:dyDescent="0.25">
      <c r="B12" s="13"/>
      <c r="N12" s="22"/>
      <c r="Q12" s="19"/>
    </row>
    <row r="13" spans="2:30" x14ac:dyDescent="0.25">
      <c r="E13" s="22">
        <f>SUM(E4:E11)</f>
        <v>-472645.23862047074</v>
      </c>
      <c r="F13" s="22">
        <f>SUM(F4:F11)</f>
        <v>-25995.488124125888</v>
      </c>
      <c r="G13" s="22">
        <f>SUM(G4:G11)</f>
        <v>-498640.72674459656</v>
      </c>
      <c r="H13" s="22"/>
      <c r="I13" s="22"/>
      <c r="J13" s="22">
        <f>SUM(J4:J11)</f>
        <v>-5200.5317757272096</v>
      </c>
      <c r="K13" s="22"/>
      <c r="L13" s="22"/>
      <c r="M13" s="22">
        <f>SUM(M4:M11)</f>
        <v>-98809.886382348632</v>
      </c>
    </row>
  </sheetData>
  <mergeCells count="48">
    <mergeCell ref="Y3:AA3"/>
    <mergeCell ref="AC3:AD3"/>
    <mergeCell ref="N8:N9"/>
    <mergeCell ref="O8:O9"/>
    <mergeCell ref="P8:P9"/>
    <mergeCell ref="Q8:Q9"/>
    <mergeCell ref="Q6:Q7"/>
    <mergeCell ref="O2:O3"/>
    <mergeCell ref="N2:N3"/>
    <mergeCell ref="P2:P3"/>
    <mergeCell ref="O6:O7"/>
    <mergeCell ref="P6:P7"/>
    <mergeCell ref="T3:U3"/>
    <mergeCell ref="O4:O5"/>
    <mergeCell ref="Q2:Q3"/>
    <mergeCell ref="B8:B9"/>
    <mergeCell ref="C8:C9"/>
    <mergeCell ref="D8:D9"/>
    <mergeCell ref="L8:L9"/>
    <mergeCell ref="M8:M9"/>
    <mergeCell ref="B6:B7"/>
    <mergeCell ref="C6:C7"/>
    <mergeCell ref="D6:D7"/>
    <mergeCell ref="M6:M7"/>
    <mergeCell ref="N6:N7"/>
    <mergeCell ref="L6:L7"/>
    <mergeCell ref="B4:B5"/>
    <mergeCell ref="C4:C5"/>
    <mergeCell ref="D4:D5"/>
    <mergeCell ref="M4:M5"/>
    <mergeCell ref="N4:N5"/>
    <mergeCell ref="L4:L5"/>
    <mergeCell ref="B2:B3"/>
    <mergeCell ref="C2:C3"/>
    <mergeCell ref="D2:D3"/>
    <mergeCell ref="E2:G2"/>
    <mergeCell ref="M2:M3"/>
    <mergeCell ref="H2:L2"/>
    <mergeCell ref="K3:L3"/>
    <mergeCell ref="N10:N11"/>
    <mergeCell ref="O10:O11"/>
    <mergeCell ref="P10:P11"/>
    <mergeCell ref="Q10:Q11"/>
    <mergeCell ref="B10:B11"/>
    <mergeCell ref="C10:C11"/>
    <mergeCell ref="D10:D11"/>
    <mergeCell ref="L10:L11"/>
    <mergeCell ref="M10:M11"/>
  </mergeCells>
  <pageMargins left="0.7" right="0.7" top="0.75" bottom="0.75" header="0.3" footer="0.3"/>
  <ignoredErrors>
    <ignoredError sqref="G5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97D-1EA4-42C4-B6C8-D03C32DEB9C1}">
  <sheetPr codeName="Hoja9">
    <tabColor theme="4" tint="0.79998168889431442"/>
    <pageSetUpPr fitToPage="1"/>
  </sheetPr>
  <dimension ref="B1:AM31"/>
  <sheetViews>
    <sheetView topLeftCell="G1" zoomScaleNormal="100" workbookViewId="0">
      <selection activeCell="O23" sqref="O23"/>
    </sheetView>
  </sheetViews>
  <sheetFormatPr baseColWidth="10" defaultColWidth="11.42578125" defaultRowHeight="15" x14ac:dyDescent="0.25"/>
  <cols>
    <col min="1" max="1" width="10.7109375" style="1" customWidth="1"/>
    <col min="2" max="2" width="18.140625" style="1" bestFit="1" customWidth="1"/>
    <col min="3" max="3" width="19.7109375" style="1" customWidth="1"/>
    <col min="4" max="4" width="14.28515625" style="1" bestFit="1" customWidth="1"/>
    <col min="5" max="5" width="13" style="1" customWidth="1"/>
    <col min="6" max="6" width="13.140625" style="1" bestFit="1" customWidth="1"/>
    <col min="7" max="7" width="12.42578125" style="1" customWidth="1"/>
    <col min="8" max="8" width="13" style="1" customWidth="1"/>
    <col min="9" max="9" width="36.85546875" style="1" bestFit="1" customWidth="1"/>
    <col min="10" max="11" width="41.5703125" style="1" customWidth="1"/>
    <col min="12" max="12" width="38.85546875" style="1" customWidth="1"/>
    <col min="13" max="13" width="14.85546875" style="1" customWidth="1"/>
    <col min="14" max="14" width="13" style="1" customWidth="1"/>
    <col min="15" max="15" width="12.42578125" style="1" customWidth="1"/>
    <col min="16" max="16" width="19.28515625" style="1" customWidth="1"/>
    <col min="17" max="17" width="11.7109375" style="1" customWidth="1"/>
    <col min="18" max="18" width="16.5703125" style="1" bestFit="1" customWidth="1"/>
    <col min="19" max="24" width="11.42578125" style="1"/>
    <col min="25" max="25" width="26.5703125" style="1" customWidth="1"/>
    <col min="26" max="26" width="12.28515625" style="1" bestFit="1" customWidth="1"/>
    <col min="27" max="37" width="11.42578125" style="1"/>
    <col min="38" max="38" width="15" style="1" bestFit="1" customWidth="1"/>
    <col min="39" max="16384" width="11.42578125" style="1"/>
  </cols>
  <sheetData>
    <row r="1" spans="2:39" x14ac:dyDescent="0.25">
      <c r="AM1" s="97"/>
    </row>
    <row r="2" spans="2:39" x14ac:dyDescent="0.25">
      <c r="B2" s="3" t="s">
        <v>0</v>
      </c>
      <c r="C2" s="3" t="s">
        <v>14</v>
      </c>
      <c r="D2" s="3" t="s">
        <v>2</v>
      </c>
      <c r="E2" s="3" t="s">
        <v>13</v>
      </c>
      <c r="F2" s="6" t="s">
        <v>3</v>
      </c>
      <c r="G2" s="6" t="s">
        <v>4</v>
      </c>
      <c r="H2" s="6" t="s">
        <v>5</v>
      </c>
      <c r="I2" s="6" t="s">
        <v>47</v>
      </c>
      <c r="J2" s="6" t="s">
        <v>48</v>
      </c>
      <c r="K2" s="6"/>
      <c r="L2" s="6" t="s">
        <v>33</v>
      </c>
      <c r="M2" s="6" t="s">
        <v>6</v>
      </c>
      <c r="N2" s="6" t="s">
        <v>7</v>
      </c>
      <c r="O2" s="6" t="s">
        <v>15</v>
      </c>
      <c r="P2" s="3" t="s">
        <v>12</v>
      </c>
      <c r="Q2" s="3" t="s">
        <v>17</v>
      </c>
      <c r="R2" s="3" t="s">
        <v>29</v>
      </c>
      <c r="S2" s="3" t="s">
        <v>30</v>
      </c>
      <c r="T2" s="3" t="s">
        <v>31</v>
      </c>
      <c r="U2" s="3" t="s">
        <v>32</v>
      </c>
      <c r="Y2" s="198" t="s">
        <v>245</v>
      </c>
      <c r="Z2" s="198"/>
      <c r="AL2" s="106" t="str">
        <f t="shared" ref="AL2:AL7" si="0">+C2</f>
        <v>Mes certificado</v>
      </c>
      <c r="AM2" s="107" t="str">
        <f t="shared" ref="AM2:AM7" si="1">+S2</f>
        <v>% Ajuste</v>
      </c>
    </row>
    <row r="3" spans="2:39" x14ac:dyDescent="0.25">
      <c r="B3" s="16" t="s">
        <v>24</v>
      </c>
      <c r="C3" s="5">
        <v>45627</v>
      </c>
      <c r="D3" s="2" t="s">
        <v>109</v>
      </c>
      <c r="E3" s="9">
        <v>45803</v>
      </c>
      <c r="F3" s="7">
        <v>60057.54</v>
      </c>
      <c r="G3" s="7">
        <f>+F3*0.22</f>
        <v>13212.658800000001</v>
      </c>
      <c r="H3" s="7">
        <f>+F3+G3</f>
        <v>73270.198799999998</v>
      </c>
      <c r="I3" s="7">
        <f>+F3*0.05</f>
        <v>3002.8770000000004</v>
      </c>
      <c r="J3" s="7">
        <f>+F3*0.025</f>
        <v>1501.4385000000002</v>
      </c>
      <c r="K3" s="7">
        <f>+L3+M3</f>
        <v>55553.224499999997</v>
      </c>
      <c r="L3" s="7">
        <v>1931</v>
      </c>
      <c r="M3" s="7">
        <f>+F3-I3-J3-L3</f>
        <v>53622.224499999997</v>
      </c>
      <c r="N3" s="7">
        <v>53622.22</v>
      </c>
      <c r="O3" s="9">
        <v>45835</v>
      </c>
      <c r="P3" s="2"/>
      <c r="Q3" s="2">
        <v>5</v>
      </c>
      <c r="R3" s="7">
        <f>+'Básico $'!F4</f>
        <v>3020726</v>
      </c>
      <c r="S3" s="18">
        <f>+F3/R3</f>
        <v>1.9881823111397724E-2</v>
      </c>
      <c r="T3" s="18"/>
      <c r="U3" s="12" t="s">
        <v>35</v>
      </c>
      <c r="Y3" s="7" t="s">
        <v>251</v>
      </c>
      <c r="Z3" s="90">
        <f>+F24</f>
        <v>14041077.460000001</v>
      </c>
      <c r="AL3" s="5">
        <f t="shared" si="0"/>
        <v>45627</v>
      </c>
      <c r="AM3" s="108">
        <f t="shared" si="1"/>
        <v>1.9881823111397724E-2</v>
      </c>
    </row>
    <row r="4" spans="2:39" x14ac:dyDescent="0.25">
      <c r="B4" s="16" t="s">
        <v>25</v>
      </c>
      <c r="C4" s="5">
        <v>45658</v>
      </c>
      <c r="D4" s="2" t="s">
        <v>110</v>
      </c>
      <c r="E4" s="9">
        <v>45803</v>
      </c>
      <c r="F4" s="7">
        <v>57599.76</v>
      </c>
      <c r="G4" s="7">
        <f t="shared" ref="G4:G8" si="2">+F4*0.22</f>
        <v>12671.947200000001</v>
      </c>
      <c r="H4" s="7">
        <f t="shared" ref="H4:H8" si="3">+F4+G4</f>
        <v>70271.707200000004</v>
      </c>
      <c r="I4" s="7">
        <f t="shared" ref="I4:I8" si="4">+F4*0.05</f>
        <v>2879.9880000000003</v>
      </c>
      <c r="J4" s="7">
        <f t="shared" ref="J4:J8" si="5">+F4*0.025</f>
        <v>1439.9940000000001</v>
      </c>
      <c r="K4" s="7">
        <f t="shared" ref="K4:K7" si="6">+L4+M4</f>
        <v>53279.778000000006</v>
      </c>
      <c r="L4" s="7">
        <v>821</v>
      </c>
      <c r="M4" s="7">
        <f>+F4-I4-J4-L4</f>
        <v>52458.778000000006</v>
      </c>
      <c r="N4" s="7">
        <v>52458.78</v>
      </c>
      <c r="O4" s="9">
        <v>45835</v>
      </c>
      <c r="P4" s="2"/>
      <c r="Q4" s="2">
        <v>5</v>
      </c>
      <c r="R4" s="7">
        <f>+'Básico $'!F5</f>
        <v>2620526</v>
      </c>
      <c r="S4" s="18">
        <f t="shared" ref="S4:S10" si="7">+F4/R4</f>
        <v>2.1980228396894366E-2</v>
      </c>
      <c r="T4" s="18">
        <f>+S4-S3</f>
        <v>2.0984052854966413E-3</v>
      </c>
      <c r="U4" s="12" t="s">
        <v>36</v>
      </c>
      <c r="Y4" s="7" t="s">
        <v>249</v>
      </c>
      <c r="Z4" s="7">
        <f>+G24</f>
        <v>3089037.0411999999</v>
      </c>
      <c r="AL4" s="5">
        <f t="shared" si="0"/>
        <v>45658</v>
      </c>
      <c r="AM4" s="108">
        <f t="shared" si="1"/>
        <v>2.1980228396894366E-2</v>
      </c>
    </row>
    <row r="5" spans="2:39" x14ac:dyDescent="0.25">
      <c r="B5" s="16" t="s">
        <v>26</v>
      </c>
      <c r="C5" s="5">
        <v>45689</v>
      </c>
      <c r="D5" s="2" t="s">
        <v>111</v>
      </c>
      <c r="E5" s="9">
        <v>45803</v>
      </c>
      <c r="F5" s="7">
        <v>210401.13</v>
      </c>
      <c r="G5" s="7">
        <f t="shared" si="2"/>
        <v>46288.248599999999</v>
      </c>
      <c r="H5" s="7">
        <f t="shared" si="3"/>
        <v>256689.3786</v>
      </c>
      <c r="I5" s="7">
        <f t="shared" si="4"/>
        <v>10520.056500000001</v>
      </c>
      <c r="J5" s="7">
        <f t="shared" si="5"/>
        <v>5260.0282500000003</v>
      </c>
      <c r="K5" s="7">
        <f t="shared" si="6"/>
        <v>194621.04525</v>
      </c>
      <c r="L5" s="7">
        <v>4689</v>
      </c>
      <c r="M5" s="7">
        <f>+F5-I5-J5-L5</f>
        <v>189932.04525</v>
      </c>
      <c r="N5" s="7">
        <v>189932.05</v>
      </c>
      <c r="O5" s="9">
        <v>45835</v>
      </c>
      <c r="P5" s="2"/>
      <c r="Q5" s="2">
        <v>5</v>
      </c>
      <c r="R5" s="7">
        <f>+'Básico $'!F6</f>
        <v>7539478</v>
      </c>
      <c r="S5" s="18">
        <f t="shared" si="7"/>
        <v>2.7906591145965279E-2</v>
      </c>
      <c r="T5" s="18">
        <f t="shared" ref="T5:T7" si="8">+S5-S4</f>
        <v>5.9263627490709139E-3</v>
      </c>
      <c r="U5" s="12" t="s">
        <v>37</v>
      </c>
      <c r="Y5" s="7" t="s">
        <v>252</v>
      </c>
      <c r="Z5" s="7">
        <f>+H24</f>
        <v>17130114.501199998</v>
      </c>
      <c r="AL5" s="5">
        <f t="shared" si="0"/>
        <v>45689</v>
      </c>
      <c r="AM5" s="108">
        <f t="shared" si="1"/>
        <v>2.7906591145965279E-2</v>
      </c>
    </row>
    <row r="6" spans="2:39" x14ac:dyDescent="0.25">
      <c r="B6" s="16" t="s">
        <v>27</v>
      </c>
      <c r="C6" s="5">
        <v>45717</v>
      </c>
      <c r="D6" s="2" t="s">
        <v>112</v>
      </c>
      <c r="E6" s="9">
        <v>45803</v>
      </c>
      <c r="F6" s="7">
        <v>395161.09</v>
      </c>
      <c r="G6" s="7">
        <f t="shared" si="2"/>
        <v>86935.439800000007</v>
      </c>
      <c r="H6" s="7">
        <f t="shared" si="3"/>
        <v>482096.52980000002</v>
      </c>
      <c r="I6" s="7">
        <f t="shared" si="4"/>
        <v>19758.054500000002</v>
      </c>
      <c r="J6" s="7">
        <f t="shared" si="5"/>
        <v>9879.027250000001</v>
      </c>
      <c r="K6" s="7">
        <f t="shared" si="6"/>
        <v>365524.00825000001</v>
      </c>
      <c r="L6" s="7">
        <v>8187</v>
      </c>
      <c r="M6" s="7">
        <f>+F6-I6-J6-L6</f>
        <v>357337.00825000001</v>
      </c>
      <c r="N6" s="7">
        <v>357337.01</v>
      </c>
      <c r="O6" s="9">
        <v>45869</v>
      </c>
      <c r="P6" s="2"/>
      <c r="Q6" s="2">
        <v>5</v>
      </c>
      <c r="R6" s="7">
        <f>+'Básico $'!F7</f>
        <v>14122299</v>
      </c>
      <c r="S6" s="18">
        <f t="shared" si="7"/>
        <v>2.79813570014344E-2</v>
      </c>
      <c r="T6" s="18">
        <f t="shared" si="8"/>
        <v>7.4765855469120096E-5</v>
      </c>
      <c r="U6" s="12" t="s">
        <v>39</v>
      </c>
      <c r="Y6" s="7" t="s">
        <v>247</v>
      </c>
      <c r="Z6" s="7">
        <f>+I24</f>
        <v>702053.87300000014</v>
      </c>
      <c r="AL6" s="5">
        <f t="shared" si="0"/>
        <v>45717</v>
      </c>
      <c r="AM6" s="108">
        <f t="shared" si="1"/>
        <v>2.79813570014344E-2</v>
      </c>
    </row>
    <row r="7" spans="2:39" x14ac:dyDescent="0.25">
      <c r="B7" s="16" t="s">
        <v>28</v>
      </c>
      <c r="C7" s="5">
        <v>45748</v>
      </c>
      <c r="D7" s="2" t="s">
        <v>113</v>
      </c>
      <c r="E7" s="9">
        <v>45808</v>
      </c>
      <c r="F7" s="7">
        <v>445592.4</v>
      </c>
      <c r="G7" s="7">
        <f t="shared" si="2"/>
        <v>98030.328000000009</v>
      </c>
      <c r="H7" s="7">
        <f t="shared" si="3"/>
        <v>543622.728</v>
      </c>
      <c r="I7" s="7">
        <f t="shared" si="4"/>
        <v>22279.620000000003</v>
      </c>
      <c r="J7" s="7">
        <f>+F7*0.025</f>
        <v>11139.810000000001</v>
      </c>
      <c r="K7" s="7">
        <f t="shared" si="6"/>
        <v>412172.97000000003</v>
      </c>
      <c r="L7" s="7">
        <v>7976</v>
      </c>
      <c r="M7" s="7">
        <f t="shared" ref="M7:M9" si="9">+F7-I7-J7-L7</f>
        <v>404196.97000000003</v>
      </c>
      <c r="N7" s="7">
        <v>404196.97</v>
      </c>
      <c r="O7" s="9">
        <v>45869</v>
      </c>
      <c r="P7" s="2"/>
      <c r="Q7" s="2">
        <v>5</v>
      </c>
      <c r="R7" s="7">
        <f>+'Básico $'!F8</f>
        <v>7660122</v>
      </c>
      <c r="S7" s="18">
        <f t="shared" si="7"/>
        <v>5.8170405118874086E-2</v>
      </c>
      <c r="T7" s="18">
        <f t="shared" si="8"/>
        <v>3.0189048117439686E-2</v>
      </c>
      <c r="U7" s="12" t="s">
        <v>40</v>
      </c>
      <c r="Y7" s="7" t="s">
        <v>250</v>
      </c>
      <c r="Z7" s="7">
        <f>+J24</f>
        <v>351026.93650000007</v>
      </c>
      <c r="AL7" s="5">
        <f t="shared" si="0"/>
        <v>45748</v>
      </c>
      <c r="AM7" s="108">
        <f t="shared" si="1"/>
        <v>5.8170405118874086E-2</v>
      </c>
    </row>
    <row r="8" spans="2:39" x14ac:dyDescent="0.25">
      <c r="B8" s="16" t="s">
        <v>50</v>
      </c>
      <c r="C8" s="23" t="s">
        <v>51</v>
      </c>
      <c r="D8" s="2" t="s">
        <v>80</v>
      </c>
      <c r="E8" s="9">
        <v>45860</v>
      </c>
      <c r="F8" s="7">
        <v>313.51</v>
      </c>
      <c r="G8" s="7">
        <f t="shared" si="2"/>
        <v>68.972200000000001</v>
      </c>
      <c r="H8" s="7">
        <f t="shared" si="3"/>
        <v>382.48219999999998</v>
      </c>
      <c r="I8" s="7">
        <f t="shared" si="4"/>
        <v>15.6755</v>
      </c>
      <c r="J8" s="7">
        <f t="shared" si="5"/>
        <v>7.8377499999999998</v>
      </c>
      <c r="K8" s="7"/>
      <c r="L8" s="7"/>
      <c r="M8" s="7">
        <f t="shared" si="9"/>
        <v>289.99675000000002</v>
      </c>
      <c r="N8" s="7">
        <v>290</v>
      </c>
      <c r="O8" s="9">
        <v>45869</v>
      </c>
      <c r="P8" s="2"/>
      <c r="Q8" s="2">
        <v>7</v>
      </c>
      <c r="R8" s="7"/>
      <c r="S8" s="18"/>
      <c r="T8" s="18"/>
      <c r="U8" s="12" t="s">
        <v>55</v>
      </c>
      <c r="Y8" s="7" t="s">
        <v>248</v>
      </c>
      <c r="Z8" s="7">
        <f>+L24</f>
        <v>23604</v>
      </c>
      <c r="AL8" s="5">
        <f t="shared" ref="AL8:AL14" si="10">+C9</f>
        <v>45778</v>
      </c>
      <c r="AM8" s="108">
        <f t="shared" ref="AM8:AM15" si="11">+S9</f>
        <v>5.6973467561556461E-2</v>
      </c>
    </row>
    <row r="9" spans="2:39" x14ac:dyDescent="0.25">
      <c r="B9" s="16">
        <v>6</v>
      </c>
      <c r="C9" s="5">
        <v>45778</v>
      </c>
      <c r="D9" s="2" t="s">
        <v>81</v>
      </c>
      <c r="E9" s="9">
        <v>45838</v>
      </c>
      <c r="F9" s="7">
        <v>796436.49</v>
      </c>
      <c r="G9" s="7">
        <f t="shared" ref="G9:G22" si="12">+F9*0.22</f>
        <v>175216.02780000001</v>
      </c>
      <c r="H9" s="7">
        <f t="shared" ref="H9:H22" si="13">+F9+G9</f>
        <v>971652.51780000003</v>
      </c>
      <c r="I9" s="7">
        <f t="shared" ref="I9:I22" si="14">+F9*0.05</f>
        <v>39821.824500000002</v>
      </c>
      <c r="J9" s="7">
        <f t="shared" ref="J9:J22" si="15">+F9*0.025</f>
        <v>19910.912250000001</v>
      </c>
      <c r="K9" s="7"/>
      <c r="L9" s="7"/>
      <c r="M9" s="7">
        <f t="shared" si="9"/>
        <v>736703.75324999995</v>
      </c>
      <c r="N9" s="7">
        <v>736704</v>
      </c>
      <c r="O9" s="9">
        <v>45883</v>
      </c>
      <c r="P9" s="2"/>
      <c r="Q9" s="2">
        <v>6</v>
      </c>
      <c r="R9" s="7">
        <v>13979077</v>
      </c>
      <c r="S9" s="18">
        <f t="shared" si="7"/>
        <v>5.6973467561556461E-2</v>
      </c>
      <c r="T9" s="18">
        <f>+S9-S7</f>
        <v>-1.1969375573176247E-3</v>
      </c>
      <c r="U9" s="28" t="s">
        <v>52</v>
      </c>
      <c r="Y9" s="7" t="s">
        <v>7</v>
      </c>
      <c r="Z9" s="7">
        <f>+N24</f>
        <v>12964394.143249998</v>
      </c>
      <c r="AL9" s="5">
        <f t="shared" si="10"/>
        <v>45809</v>
      </c>
      <c r="AM9" s="108">
        <f t="shared" si="11"/>
        <v>5.6537864557825133E-2</v>
      </c>
    </row>
    <row r="10" spans="2:39" x14ac:dyDescent="0.25">
      <c r="B10" s="16">
        <v>7</v>
      </c>
      <c r="C10" s="5">
        <v>45809</v>
      </c>
      <c r="D10" s="2" t="s">
        <v>82</v>
      </c>
      <c r="E10" s="9">
        <v>45869</v>
      </c>
      <c r="F10" s="7">
        <v>844327.62</v>
      </c>
      <c r="G10" s="7">
        <f t="shared" si="12"/>
        <v>185752.07639999999</v>
      </c>
      <c r="H10" s="7">
        <f t="shared" si="13"/>
        <v>1030079.6964</v>
      </c>
      <c r="I10" s="7">
        <f t="shared" si="14"/>
        <v>42216.381000000001</v>
      </c>
      <c r="J10" s="7">
        <f t="shared" si="15"/>
        <v>21108.190500000001</v>
      </c>
      <c r="K10" s="7"/>
      <c r="L10" s="7"/>
      <c r="M10" s="7">
        <f t="shared" ref="M10:N22" si="16">+F10-I10-J10-L10</f>
        <v>781003.04849999992</v>
      </c>
      <c r="N10" s="7">
        <v>781003.04849999992</v>
      </c>
      <c r="O10" s="9">
        <v>45891</v>
      </c>
      <c r="P10" s="7"/>
      <c r="Q10" s="2">
        <v>7</v>
      </c>
      <c r="R10" s="7">
        <v>14933843.48</v>
      </c>
      <c r="S10" s="18">
        <f t="shared" si="7"/>
        <v>5.6537864557825133E-2</v>
      </c>
      <c r="T10" s="18">
        <f t="shared" ref="T10:T16" si="17">+S10-S9</f>
        <v>-4.3560300373132743E-4</v>
      </c>
      <c r="U10" s="28" t="s">
        <v>52</v>
      </c>
      <c r="AL10" s="5">
        <f t="shared" si="10"/>
        <v>45839</v>
      </c>
      <c r="AM10" s="108">
        <f t="shared" si="11"/>
        <v>5.4171145369906061E-2</v>
      </c>
    </row>
    <row r="11" spans="2:39" x14ac:dyDescent="0.25">
      <c r="B11" s="2">
        <v>8</v>
      </c>
      <c r="C11" s="5">
        <v>45839</v>
      </c>
      <c r="D11" s="2" t="s">
        <v>83</v>
      </c>
      <c r="E11" s="9">
        <v>45900</v>
      </c>
      <c r="F11" s="7">
        <v>835055.74</v>
      </c>
      <c r="G11" s="7">
        <f t="shared" si="12"/>
        <v>183712.2628</v>
      </c>
      <c r="H11" s="7">
        <f t="shared" si="13"/>
        <v>1018768.0028</v>
      </c>
      <c r="I11" s="7">
        <f t="shared" si="14"/>
        <v>41752.787000000004</v>
      </c>
      <c r="J11" s="7">
        <f t="shared" si="15"/>
        <v>20876.393500000002</v>
      </c>
      <c r="K11" s="7"/>
      <c r="L11" s="7"/>
      <c r="M11" s="7">
        <f t="shared" si="16"/>
        <v>772426.55949999997</v>
      </c>
      <c r="N11" s="7">
        <v>772426.8</v>
      </c>
      <c r="O11" s="9">
        <v>45919</v>
      </c>
      <c r="P11" s="7"/>
      <c r="Q11" s="2">
        <v>8</v>
      </c>
      <c r="R11" s="7">
        <f>+'Básico $'!F11</f>
        <v>15415139.08</v>
      </c>
      <c r="S11" s="18">
        <f t="shared" ref="S11:S15" si="18">+F11/R11</f>
        <v>5.4171145369906061E-2</v>
      </c>
      <c r="T11" s="18">
        <f t="shared" si="17"/>
        <v>-2.3667191879190724E-3</v>
      </c>
      <c r="U11" s="28" t="s">
        <v>61</v>
      </c>
      <c r="AL11" s="5">
        <f t="shared" si="10"/>
        <v>45870</v>
      </c>
      <c r="AM11" s="108">
        <f t="shared" si="11"/>
        <v>5.3394851616538418E-2</v>
      </c>
    </row>
    <row r="12" spans="2:39" x14ac:dyDescent="0.25">
      <c r="B12" s="16">
        <v>9</v>
      </c>
      <c r="C12" s="5">
        <v>45870</v>
      </c>
      <c r="D12" s="2" t="s">
        <v>105</v>
      </c>
      <c r="E12" s="9">
        <v>45930</v>
      </c>
      <c r="F12" s="7">
        <v>1156868.6599999999</v>
      </c>
      <c r="G12" s="7">
        <f t="shared" si="12"/>
        <v>254511.10519999999</v>
      </c>
      <c r="H12" s="7">
        <f t="shared" si="13"/>
        <v>1411379.7651999998</v>
      </c>
      <c r="I12" s="7">
        <f t="shared" si="14"/>
        <v>57843.432999999997</v>
      </c>
      <c r="J12" s="7">
        <f t="shared" si="15"/>
        <v>28921.716499999999</v>
      </c>
      <c r="K12" s="7"/>
      <c r="L12" s="7"/>
      <c r="M12" s="7">
        <f t="shared" si="16"/>
        <v>1070103.5104999999</v>
      </c>
      <c r="N12" s="7">
        <v>1070104.51</v>
      </c>
      <c r="O12" s="9">
        <v>45951</v>
      </c>
      <c r="P12" s="2"/>
      <c r="Q12" s="2">
        <v>9</v>
      </c>
      <c r="R12" s="7">
        <f>+'Básico $'!F12</f>
        <v>21666296</v>
      </c>
      <c r="S12" s="18">
        <f t="shared" si="18"/>
        <v>5.3394851616538418E-2</v>
      </c>
      <c r="T12" s="18">
        <f t="shared" si="17"/>
        <v>-7.7629375336764339E-4</v>
      </c>
      <c r="U12" s="28" t="s">
        <v>106</v>
      </c>
      <c r="AL12" s="5">
        <f t="shared" si="10"/>
        <v>45901</v>
      </c>
      <c r="AM12" s="108">
        <f t="shared" si="11"/>
        <v>5.4137197384332342E-2</v>
      </c>
    </row>
    <row r="13" spans="2:39" x14ac:dyDescent="0.25">
      <c r="B13" s="2">
        <v>10</v>
      </c>
      <c r="C13" s="5">
        <v>45901</v>
      </c>
      <c r="D13" s="2" t="s">
        <v>125</v>
      </c>
      <c r="E13" s="9">
        <v>45960</v>
      </c>
      <c r="F13" s="7">
        <v>1135832.69</v>
      </c>
      <c r="G13" s="7">
        <f t="shared" si="12"/>
        <v>249883.1918</v>
      </c>
      <c r="H13" s="7">
        <f t="shared" si="13"/>
        <v>1385715.8817999999</v>
      </c>
      <c r="I13" s="7">
        <f t="shared" si="14"/>
        <v>56791.6345</v>
      </c>
      <c r="J13" s="7">
        <f t="shared" si="15"/>
        <v>28395.81725</v>
      </c>
      <c r="K13" s="7"/>
      <c r="L13" s="7"/>
      <c r="M13" s="27">
        <f t="shared" si="16"/>
        <v>1050645.2382499999</v>
      </c>
      <c r="N13" s="7">
        <v>1050645.24</v>
      </c>
      <c r="O13" s="9">
        <v>45994</v>
      </c>
      <c r="P13" s="2"/>
      <c r="Q13" s="2">
        <v>10</v>
      </c>
      <c r="R13" s="7">
        <f>+'Básico $'!F13</f>
        <v>20980633.370000001</v>
      </c>
      <c r="S13" s="18">
        <f t="shared" si="18"/>
        <v>5.4137197384332342E-2</v>
      </c>
      <c r="T13" s="18">
        <f>+S13-S12</f>
        <v>7.4234576779392408E-4</v>
      </c>
      <c r="U13" s="28" t="s">
        <v>124</v>
      </c>
      <c r="Y13" s="131" t="s">
        <v>305</v>
      </c>
      <c r="Z13" s="107">
        <f>+S21</f>
        <v>7.2382115984176265E-2</v>
      </c>
      <c r="AL13" s="5">
        <f t="shared" si="10"/>
        <v>45931</v>
      </c>
      <c r="AM13" s="108">
        <f t="shared" si="11"/>
        <v>5.8322639484352914E-2</v>
      </c>
    </row>
    <row r="14" spans="2:39" x14ac:dyDescent="0.25">
      <c r="B14" s="2">
        <v>11</v>
      </c>
      <c r="C14" s="5">
        <v>45931</v>
      </c>
      <c r="D14" s="2" t="s">
        <v>129</v>
      </c>
      <c r="E14" s="9">
        <v>45991</v>
      </c>
      <c r="F14" s="7">
        <v>1437549.2</v>
      </c>
      <c r="G14" s="7">
        <f t="shared" si="12"/>
        <v>316260.82399999996</v>
      </c>
      <c r="H14" s="7">
        <f t="shared" si="13"/>
        <v>1753810.024</v>
      </c>
      <c r="I14" s="7">
        <f t="shared" si="14"/>
        <v>71877.460000000006</v>
      </c>
      <c r="J14" s="7">
        <f t="shared" si="15"/>
        <v>35938.730000000003</v>
      </c>
      <c r="K14" s="7"/>
      <c r="L14" s="7"/>
      <c r="M14" s="7">
        <f t="shared" si="16"/>
        <v>1329733.01</v>
      </c>
      <c r="N14" s="64">
        <f>+M14</f>
        <v>1329733.01</v>
      </c>
      <c r="O14" s="65">
        <v>46010</v>
      </c>
      <c r="P14" s="2"/>
      <c r="Q14" s="2">
        <v>11</v>
      </c>
      <c r="R14" s="7">
        <f>+'Básico $'!F14</f>
        <v>24648219.16</v>
      </c>
      <c r="S14" s="18">
        <f t="shared" si="18"/>
        <v>5.8322639484352914E-2</v>
      </c>
      <c r="T14" s="18">
        <f t="shared" si="17"/>
        <v>4.1854421000205727E-3</v>
      </c>
      <c r="U14" s="28" t="s">
        <v>126</v>
      </c>
      <c r="AL14" s="5">
        <f t="shared" si="10"/>
        <v>45962</v>
      </c>
      <c r="AM14" s="108">
        <f t="shared" si="11"/>
        <v>5.6718135749454397E-2</v>
      </c>
    </row>
    <row r="15" spans="2:39" x14ac:dyDescent="0.25">
      <c r="B15" s="2">
        <v>12</v>
      </c>
      <c r="C15" s="5">
        <v>45962</v>
      </c>
      <c r="D15" s="2" t="s">
        <v>138</v>
      </c>
      <c r="E15" s="9">
        <v>46022</v>
      </c>
      <c r="F15" s="7">
        <v>1268769.95</v>
      </c>
      <c r="G15" s="7">
        <f t="shared" si="12"/>
        <v>279129.38899999997</v>
      </c>
      <c r="H15" s="7">
        <f t="shared" si="13"/>
        <v>1547899.3389999999</v>
      </c>
      <c r="I15" s="7">
        <f t="shared" si="14"/>
        <v>63438.497499999998</v>
      </c>
      <c r="J15" s="7">
        <f t="shared" si="15"/>
        <v>31719.248749999999</v>
      </c>
      <c r="K15" s="7"/>
      <c r="L15" s="7"/>
      <c r="M15" s="7">
        <f t="shared" si="16"/>
        <v>1173612.2037499999</v>
      </c>
      <c r="N15" s="27">
        <f>+M15</f>
        <v>1173612.2037499999</v>
      </c>
      <c r="O15" s="9">
        <v>46045</v>
      </c>
      <c r="P15" s="2"/>
      <c r="Q15" s="2">
        <v>12</v>
      </c>
      <c r="R15" s="7">
        <f>+'Básico $'!F16</f>
        <v>22369740</v>
      </c>
      <c r="S15" s="18">
        <f t="shared" si="18"/>
        <v>5.6718135749454397E-2</v>
      </c>
      <c r="T15" s="18">
        <f t="shared" si="17"/>
        <v>-1.6045037348985172E-3</v>
      </c>
      <c r="U15" s="28" t="s">
        <v>146</v>
      </c>
      <c r="AL15" s="5">
        <v>45992</v>
      </c>
      <c r="AM15" s="108">
        <f t="shared" si="11"/>
        <v>5.5338895200529627E-2</v>
      </c>
    </row>
    <row r="16" spans="2:39" x14ac:dyDescent="0.25">
      <c r="B16" s="2">
        <v>13</v>
      </c>
      <c r="C16" s="23" t="s">
        <v>148</v>
      </c>
      <c r="D16" s="2" t="s">
        <v>139</v>
      </c>
      <c r="E16" s="9">
        <v>46022</v>
      </c>
      <c r="F16" s="7">
        <v>997262</v>
      </c>
      <c r="G16" s="7">
        <f t="shared" si="12"/>
        <v>219397.64</v>
      </c>
      <c r="H16" s="7">
        <f t="shared" si="13"/>
        <v>1216659.6400000001</v>
      </c>
      <c r="I16" s="7">
        <f t="shared" si="14"/>
        <v>49863.100000000006</v>
      </c>
      <c r="J16" s="7">
        <f t="shared" si="15"/>
        <v>24931.550000000003</v>
      </c>
      <c r="K16" s="7"/>
      <c r="L16" s="7"/>
      <c r="M16" s="7">
        <f t="shared" si="16"/>
        <v>922467.35</v>
      </c>
      <c r="N16" s="27">
        <f>+M16</f>
        <v>922467.35</v>
      </c>
      <c r="O16" s="9">
        <v>46045</v>
      </c>
      <c r="P16" s="2"/>
      <c r="Q16" s="2">
        <v>12</v>
      </c>
      <c r="R16" s="220">
        <f>+'Básico $'!F17</f>
        <v>17503240.649999999</v>
      </c>
      <c r="S16" s="212">
        <f>(+F16+F17)/R16</f>
        <v>5.5338895200529627E-2</v>
      </c>
      <c r="T16" s="212">
        <f t="shared" si="17"/>
        <v>-1.3792405489247705E-3</v>
      </c>
      <c r="U16" s="28" t="s">
        <v>146</v>
      </c>
      <c r="AL16" s="5">
        <f>+C18</f>
        <v>46023</v>
      </c>
      <c r="AM16" s="108">
        <f>+S18</f>
        <v>5.8881091905683511E-2</v>
      </c>
    </row>
    <row r="17" spans="2:39" x14ac:dyDescent="0.25">
      <c r="B17" s="2">
        <v>14</v>
      </c>
      <c r="C17" s="23" t="s">
        <v>149</v>
      </c>
      <c r="D17" s="2" t="s">
        <v>153</v>
      </c>
      <c r="E17" s="9">
        <v>46053</v>
      </c>
      <c r="F17" s="7">
        <v>-28652</v>
      </c>
      <c r="G17" s="7">
        <f t="shared" si="12"/>
        <v>-6303.44</v>
      </c>
      <c r="H17" s="7">
        <f t="shared" si="13"/>
        <v>-34955.440000000002</v>
      </c>
      <c r="I17" s="7">
        <f t="shared" si="14"/>
        <v>-1432.6000000000001</v>
      </c>
      <c r="J17" s="7">
        <f t="shared" si="15"/>
        <v>-716.30000000000007</v>
      </c>
      <c r="K17" s="7"/>
      <c r="L17" s="7"/>
      <c r="M17" s="7">
        <f t="shared" si="16"/>
        <v>-26503.100000000002</v>
      </c>
      <c r="N17" s="214">
        <f>+M17+M18</f>
        <v>622137.42500000005</v>
      </c>
      <c r="O17" s="218">
        <v>46101</v>
      </c>
      <c r="P17" s="216" t="s">
        <v>159</v>
      </c>
      <c r="Q17" s="2">
        <v>13</v>
      </c>
      <c r="R17" s="221"/>
      <c r="S17" s="213"/>
      <c r="T17" s="213"/>
      <c r="U17" s="28" t="s">
        <v>150</v>
      </c>
      <c r="AL17" s="5">
        <f>+C19</f>
        <v>46054</v>
      </c>
      <c r="AM17" s="108">
        <f>+S19</f>
        <v>6.2799858573733977E-2</v>
      </c>
    </row>
    <row r="18" spans="2:39" x14ac:dyDescent="0.25">
      <c r="B18" s="2">
        <v>15</v>
      </c>
      <c r="C18" s="23">
        <v>46023</v>
      </c>
      <c r="D18" s="2" t="s">
        <v>161</v>
      </c>
      <c r="E18" s="9">
        <v>46081</v>
      </c>
      <c r="F18" s="7">
        <v>701233</v>
      </c>
      <c r="G18" s="7">
        <f t="shared" si="12"/>
        <v>154271.26</v>
      </c>
      <c r="H18" s="7">
        <f t="shared" si="13"/>
        <v>855504.26</v>
      </c>
      <c r="I18" s="7">
        <f t="shared" si="14"/>
        <v>35061.65</v>
      </c>
      <c r="J18" s="7">
        <f t="shared" si="15"/>
        <v>17530.825000000001</v>
      </c>
      <c r="K18" s="7"/>
      <c r="L18" s="7"/>
      <c r="M18" s="7">
        <f t="shared" si="16"/>
        <v>648640.52500000002</v>
      </c>
      <c r="N18" s="215"/>
      <c r="O18" s="219"/>
      <c r="P18" s="217"/>
      <c r="Q18" s="2">
        <v>14</v>
      </c>
      <c r="R18" s="7">
        <f>+'Básico $'!F18</f>
        <v>11909307</v>
      </c>
      <c r="S18" s="18">
        <f>+F18/R18</f>
        <v>5.8881091905683511E-2</v>
      </c>
      <c r="T18" s="18">
        <f>+S18-S16</f>
        <v>3.5421967051538841E-3</v>
      </c>
      <c r="U18" s="28" t="s">
        <v>156</v>
      </c>
      <c r="AL18" s="5">
        <f>+C20</f>
        <v>46082</v>
      </c>
      <c r="AM18" s="108">
        <f>+S20</f>
        <v>6.6282309677776347E-2</v>
      </c>
    </row>
    <row r="19" spans="2:39" x14ac:dyDescent="0.25">
      <c r="B19" s="16">
        <v>16</v>
      </c>
      <c r="C19" s="5">
        <v>46054</v>
      </c>
      <c r="D19" s="2" t="s">
        <v>182</v>
      </c>
      <c r="E19" s="9">
        <v>46112</v>
      </c>
      <c r="F19" s="7">
        <v>780278.76</v>
      </c>
      <c r="G19" s="7">
        <f t="shared" si="12"/>
        <v>171661.3272</v>
      </c>
      <c r="H19" s="7">
        <f t="shared" si="13"/>
        <v>951940.08719999995</v>
      </c>
      <c r="I19" s="7">
        <f t="shared" si="14"/>
        <v>39013.938000000002</v>
      </c>
      <c r="J19" s="7">
        <f t="shared" si="15"/>
        <v>19506.969000000001</v>
      </c>
      <c r="K19" s="7"/>
      <c r="L19" s="7"/>
      <c r="M19" s="7">
        <f t="shared" si="16"/>
        <v>721757.853</v>
      </c>
      <c r="N19" s="7">
        <v>721757.85</v>
      </c>
      <c r="O19" s="9">
        <v>46142</v>
      </c>
      <c r="P19" s="2"/>
      <c r="Q19" s="2">
        <v>15</v>
      </c>
      <c r="R19" s="7">
        <f>+'Básico $'!F19</f>
        <v>12424849</v>
      </c>
      <c r="S19" s="18">
        <f>+F19/R19</f>
        <v>6.2799858573733977E-2</v>
      </c>
      <c r="T19" s="18">
        <f>+S19-S18</f>
        <v>3.9187666680504663E-3</v>
      </c>
      <c r="U19" s="28" t="s">
        <v>171</v>
      </c>
      <c r="AL19" s="5">
        <f>+C21</f>
        <v>46113</v>
      </c>
      <c r="AM19" s="108">
        <f>+S21</f>
        <v>7.2382115984176265E-2</v>
      </c>
    </row>
    <row r="20" spans="2:39" x14ac:dyDescent="0.25">
      <c r="B20" s="16">
        <v>17</v>
      </c>
      <c r="C20" s="5">
        <v>46082</v>
      </c>
      <c r="D20" s="2" t="s">
        <v>206</v>
      </c>
      <c r="E20" s="9">
        <v>46142</v>
      </c>
      <c r="F20" s="7">
        <v>994136.32</v>
      </c>
      <c r="G20" s="7">
        <f t="shared" si="12"/>
        <v>218709.99039999998</v>
      </c>
      <c r="H20" s="7">
        <f t="shared" si="13"/>
        <v>1212846.3103999998</v>
      </c>
      <c r="I20" s="7">
        <f t="shared" si="14"/>
        <v>49706.815999999999</v>
      </c>
      <c r="J20" s="7">
        <f t="shared" si="15"/>
        <v>24853.407999999999</v>
      </c>
      <c r="K20" s="7"/>
      <c r="L20" s="7"/>
      <c r="M20" s="7">
        <f t="shared" si="16"/>
        <v>919576.0959999999</v>
      </c>
      <c r="N20" s="7">
        <f>+M20</f>
        <v>919576.0959999999</v>
      </c>
      <c r="O20" s="9">
        <v>46163</v>
      </c>
      <c r="P20" s="2"/>
      <c r="Q20" s="2">
        <v>16</v>
      </c>
      <c r="R20" s="7">
        <f>+'Básico $'!F20</f>
        <v>14998516.57</v>
      </c>
      <c r="S20" s="18">
        <f>+F20/R20</f>
        <v>6.6282309677776347E-2</v>
      </c>
      <c r="T20" s="18">
        <f>+S20-S19</f>
        <v>3.4824511040423695E-3</v>
      </c>
      <c r="U20" s="28" t="s">
        <v>204</v>
      </c>
    </row>
    <row r="21" spans="2:39" x14ac:dyDescent="0.25">
      <c r="B21" s="16">
        <v>18</v>
      </c>
      <c r="C21" s="5">
        <v>46113</v>
      </c>
      <c r="D21" s="2" t="s">
        <v>219</v>
      </c>
      <c r="E21" s="9">
        <v>46173</v>
      </c>
      <c r="F21" s="7">
        <v>889962.6</v>
      </c>
      <c r="G21" s="7">
        <f t="shared" si="12"/>
        <v>195791.772</v>
      </c>
      <c r="H21" s="7">
        <f t="shared" si="13"/>
        <v>1085754.372</v>
      </c>
      <c r="I21" s="7">
        <f t="shared" si="14"/>
        <v>44498.130000000005</v>
      </c>
      <c r="J21" s="7">
        <f t="shared" si="15"/>
        <v>22249.065000000002</v>
      </c>
      <c r="K21" s="7"/>
      <c r="L21" s="7"/>
      <c r="M21" s="7">
        <f t="shared" si="16"/>
        <v>823215.40500000003</v>
      </c>
      <c r="N21" s="7">
        <f>+M21</f>
        <v>823215.40500000003</v>
      </c>
      <c r="O21" s="9">
        <v>46198</v>
      </c>
      <c r="P21" s="2"/>
      <c r="Q21" s="2">
        <v>17</v>
      </c>
      <c r="R21" s="7">
        <f>+'Básico $'!F21</f>
        <v>12295338.26</v>
      </c>
      <c r="S21" s="130">
        <f>+F21/R21</f>
        <v>7.2382115984176265E-2</v>
      </c>
      <c r="T21" s="18">
        <f>+S21-S20</f>
        <v>6.0998063063999186E-3</v>
      </c>
      <c r="U21" s="28" t="s">
        <v>221</v>
      </c>
    </row>
    <row r="22" spans="2:39" x14ac:dyDescent="0.25">
      <c r="B22" s="16">
        <v>19</v>
      </c>
      <c r="C22" s="5">
        <v>46143</v>
      </c>
      <c r="D22" s="2" t="s">
        <v>315</v>
      </c>
      <c r="E22" s="9">
        <v>46203</v>
      </c>
      <c r="F22" s="7">
        <v>1062891</v>
      </c>
      <c r="G22" s="7">
        <f t="shared" si="12"/>
        <v>233836.02</v>
      </c>
      <c r="H22" s="7">
        <f t="shared" si="13"/>
        <v>1296727.02</v>
      </c>
      <c r="I22" s="7">
        <f t="shared" si="14"/>
        <v>53144.55</v>
      </c>
      <c r="J22" s="7">
        <f t="shared" si="15"/>
        <v>26572.275000000001</v>
      </c>
      <c r="K22" s="7"/>
      <c r="L22" s="7"/>
      <c r="M22" s="7">
        <f t="shared" si="16"/>
        <v>983174.17499999993</v>
      </c>
      <c r="N22" s="7">
        <v>983174.17499999993</v>
      </c>
      <c r="O22" s="9">
        <v>46233</v>
      </c>
      <c r="P22" s="2"/>
      <c r="Q22" s="2">
        <v>18</v>
      </c>
      <c r="R22" s="7">
        <f>+'Básico $'!F22</f>
        <v>14976846.560000001</v>
      </c>
      <c r="S22" s="130">
        <f>+F22/R22</f>
        <v>7.0968945014016349E-2</v>
      </c>
      <c r="T22" s="18">
        <f>+S22-S21</f>
        <v>-1.413170970159916E-3</v>
      </c>
      <c r="U22" s="28" t="s">
        <v>310</v>
      </c>
    </row>
    <row r="23" spans="2:39" x14ac:dyDescent="0.25">
      <c r="B23" s="77"/>
      <c r="C23" s="78"/>
      <c r="E23" s="74"/>
      <c r="F23" s="10"/>
      <c r="G23" s="10"/>
      <c r="H23" s="10"/>
      <c r="I23" s="10"/>
      <c r="J23" s="10"/>
      <c r="K23" s="10"/>
      <c r="L23" s="10"/>
      <c r="M23" s="10"/>
      <c r="N23" s="10"/>
      <c r="O23" s="74"/>
      <c r="R23" s="10"/>
      <c r="S23" s="80"/>
      <c r="T23" s="80"/>
      <c r="U23" s="79"/>
      <c r="AL23" s="78"/>
    </row>
    <row r="24" spans="2:39" x14ac:dyDescent="0.25">
      <c r="F24" s="22">
        <f>SUM(F3:F23)</f>
        <v>14041077.460000001</v>
      </c>
      <c r="G24" s="22">
        <f t="shared" ref="G24:N24" si="19">SUM(G3:G23)</f>
        <v>3089037.0411999999</v>
      </c>
      <c r="H24" s="22">
        <f t="shared" si="19"/>
        <v>17130114.501199998</v>
      </c>
      <c r="I24" s="22">
        <f t="shared" si="19"/>
        <v>702053.87300000014</v>
      </c>
      <c r="J24" s="22">
        <f t="shared" si="19"/>
        <v>351026.93650000007</v>
      </c>
      <c r="K24" s="22"/>
      <c r="L24" s="22">
        <f t="shared" si="19"/>
        <v>23604</v>
      </c>
      <c r="M24" s="22">
        <f t="shared" si="19"/>
        <v>12964392.650500001</v>
      </c>
      <c r="N24" s="22">
        <f t="shared" si="19"/>
        <v>12964394.143249998</v>
      </c>
      <c r="O24" s="29"/>
      <c r="P24" s="29"/>
      <c r="Q24" s="29"/>
      <c r="R24" s="22">
        <f t="shared" ref="R24" si="20">SUM(R3:R23)</f>
        <v>253064197.13</v>
      </c>
      <c r="S24" s="29"/>
      <c r="T24" s="29"/>
      <c r="U24" s="29"/>
      <c r="AL24" s="78"/>
    </row>
    <row r="25" spans="2:39" x14ac:dyDescent="0.25">
      <c r="AL25" s="78"/>
    </row>
    <row r="26" spans="2:39" x14ac:dyDescent="0.25">
      <c r="AL26" s="78"/>
    </row>
    <row r="27" spans="2:39" x14ac:dyDescent="0.25">
      <c r="L27" s="19"/>
      <c r="AL27" s="78"/>
    </row>
    <row r="28" spans="2:39" x14ac:dyDescent="0.25">
      <c r="M28" s="19"/>
      <c r="AL28" s="78"/>
    </row>
    <row r="29" spans="2:39" x14ac:dyDescent="0.25">
      <c r="AL29" s="78"/>
    </row>
    <row r="30" spans="2:39" x14ac:dyDescent="0.25">
      <c r="AL30" s="78"/>
    </row>
    <row r="31" spans="2:39" x14ac:dyDescent="0.25">
      <c r="AL31" s="78"/>
    </row>
  </sheetData>
  <mergeCells count="7">
    <mergeCell ref="Y2:Z2"/>
    <mergeCell ref="T16:T17"/>
    <mergeCell ref="N17:N18"/>
    <mergeCell ref="P17:P18"/>
    <mergeCell ref="O17:O18"/>
    <mergeCell ref="R16:R17"/>
    <mergeCell ref="S16:S17"/>
  </mergeCells>
  <pageMargins left="0.7" right="0.7" top="0.75" bottom="0.75" header="0.3" footer="0.3"/>
  <pageSetup paperSize="9" scale="36" orientation="landscape" r:id="rId1"/>
  <ignoredErrors>
    <ignoredError sqref="U9:U19 U20 U21" numberStoredAsText="1"/>
    <ignoredError sqref="S16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67DF-06AC-4103-9418-2A6562468D37}">
  <sheetPr codeName="Hoja10">
    <tabColor theme="4" tint="0.79998168889431442"/>
    <pageSetUpPr fitToPage="1"/>
  </sheetPr>
  <dimension ref="B3:V10"/>
  <sheetViews>
    <sheetView tabSelected="1" zoomScale="80" zoomScaleNormal="80" workbookViewId="0">
      <selection activeCell="K24" sqref="K24"/>
    </sheetView>
  </sheetViews>
  <sheetFormatPr baseColWidth="10" defaultColWidth="11.42578125" defaultRowHeight="15" x14ac:dyDescent="0.25"/>
  <cols>
    <col min="1" max="1" width="10.7109375" style="1" customWidth="1"/>
    <col min="2" max="2" width="17" style="1" customWidth="1"/>
    <col min="3" max="3" width="14.85546875" style="1" bestFit="1" customWidth="1"/>
    <col min="4" max="4" width="7.5703125" style="1" customWidth="1"/>
    <col min="5" max="5" width="13" style="1" customWidth="1"/>
    <col min="6" max="6" width="11.85546875" style="1" bestFit="1" customWidth="1"/>
    <col min="7" max="7" width="11" style="1" bestFit="1" customWidth="1"/>
    <col min="8" max="8" width="13" style="1" customWidth="1"/>
    <col min="9" max="9" width="33.7109375" style="1" bestFit="1" customWidth="1"/>
    <col min="10" max="11" width="14.85546875" style="1" customWidth="1"/>
    <col min="12" max="12" width="13" style="1" customWidth="1"/>
    <col min="13" max="13" width="18.140625" style="1" bestFit="1" customWidth="1"/>
    <col min="14" max="14" width="25" style="1" bestFit="1" customWidth="1"/>
    <col min="15" max="15" width="11.7109375" style="1" customWidth="1"/>
    <col min="16" max="16" width="16.5703125" style="1" bestFit="1" customWidth="1"/>
    <col min="17" max="20" width="11.42578125" style="1"/>
    <col min="21" max="21" width="18" style="1" bestFit="1" customWidth="1"/>
    <col min="22" max="16384" width="11.42578125" style="1"/>
  </cols>
  <sheetData>
    <row r="3" spans="2:22" x14ac:dyDescent="0.25">
      <c r="B3" s="3" t="s">
        <v>0</v>
      </c>
      <c r="C3" s="3" t="s">
        <v>14</v>
      </c>
      <c r="D3" s="3" t="s">
        <v>2</v>
      </c>
      <c r="E3" s="3" t="s">
        <v>13</v>
      </c>
      <c r="F3" s="6" t="s">
        <v>3</v>
      </c>
      <c r="G3" s="6" t="s">
        <v>4</v>
      </c>
      <c r="H3" s="6" t="s">
        <v>5</v>
      </c>
      <c r="I3" s="6" t="s">
        <v>47</v>
      </c>
      <c r="J3" s="223" t="s">
        <v>6</v>
      </c>
      <c r="K3" s="224"/>
      <c r="L3" s="6" t="s">
        <v>7</v>
      </c>
      <c r="M3" s="6" t="s">
        <v>15</v>
      </c>
      <c r="N3" s="3" t="s">
        <v>12</v>
      </c>
      <c r="O3" s="3" t="s">
        <v>17</v>
      </c>
      <c r="P3" s="3" t="s">
        <v>29</v>
      </c>
      <c r="Q3" s="3" t="s">
        <v>30</v>
      </c>
      <c r="R3" s="3" t="s">
        <v>31</v>
      </c>
      <c r="S3" s="3" t="s">
        <v>32</v>
      </c>
      <c r="U3" s="198" t="s">
        <v>245</v>
      </c>
      <c r="V3" s="198"/>
    </row>
    <row r="4" spans="2:22" x14ac:dyDescent="0.25">
      <c r="B4" s="16" t="s">
        <v>57</v>
      </c>
      <c r="C4" s="5">
        <v>45809</v>
      </c>
      <c r="D4" s="2" t="s">
        <v>102</v>
      </c>
      <c r="E4" s="9">
        <v>45869</v>
      </c>
      <c r="F4" s="7">
        <v>7001.87</v>
      </c>
      <c r="G4" s="7">
        <f>+F4*0.22</f>
        <v>1540.4114</v>
      </c>
      <c r="H4" s="7">
        <f>+F4+G4</f>
        <v>8542.2813999999998</v>
      </c>
      <c r="I4" s="7">
        <f>+F4*0.05</f>
        <v>350.09350000000001</v>
      </c>
      <c r="J4" s="7">
        <f>+F4-I4</f>
        <v>6651.7764999999999</v>
      </c>
      <c r="K4" s="7">
        <f>+J4</f>
        <v>6651.7764999999999</v>
      </c>
      <c r="L4" s="7">
        <v>6651.7764999999999</v>
      </c>
      <c r="M4" s="9">
        <v>45891</v>
      </c>
      <c r="N4" s="2"/>
      <c r="O4" s="2">
        <v>7</v>
      </c>
      <c r="P4" s="7">
        <f>+'AyD $'!F4</f>
        <v>138254.189715121</v>
      </c>
      <c r="Q4" s="18">
        <f>+F4/P4</f>
        <v>5.0644902801337661E-2</v>
      </c>
      <c r="R4" s="18"/>
      <c r="S4" s="15" t="s">
        <v>54</v>
      </c>
      <c r="U4" s="7" t="s">
        <v>251</v>
      </c>
      <c r="V4" s="90">
        <f>+F10</f>
        <v>31354.160000000003</v>
      </c>
    </row>
    <row r="5" spans="2:22" x14ac:dyDescent="0.25">
      <c r="B5" s="16" t="s">
        <v>58</v>
      </c>
      <c r="C5" s="5">
        <v>45809</v>
      </c>
      <c r="D5" s="2" t="s">
        <v>103</v>
      </c>
      <c r="E5" s="9">
        <v>45869</v>
      </c>
      <c r="F5" s="7">
        <v>37158.46</v>
      </c>
      <c r="G5" s="7">
        <f>+F5*0.22</f>
        <v>8174.8612000000003</v>
      </c>
      <c r="H5" s="7">
        <f>+F5+G5</f>
        <v>45333.321199999998</v>
      </c>
      <c r="I5" s="7">
        <f>+F5*0.05</f>
        <v>1857.923</v>
      </c>
      <c r="J5" s="7">
        <f t="shared" ref="J5:J6" si="0">+F5-I5</f>
        <v>35300.536999999997</v>
      </c>
      <c r="K5" s="7">
        <f>+J5</f>
        <v>35300.536999999997</v>
      </c>
      <c r="L5" s="7">
        <v>35300.536999999997</v>
      </c>
      <c r="M5" s="9">
        <v>45891</v>
      </c>
      <c r="N5" s="2"/>
      <c r="O5" s="2">
        <v>7</v>
      </c>
      <c r="P5" s="7">
        <f>+'AyD $'!F5</f>
        <v>497490.60022327717</v>
      </c>
      <c r="Q5" s="18">
        <f>+F5/P5</f>
        <v>7.4691783087606142E-2</v>
      </c>
      <c r="R5" s="18">
        <f>+Q5-Q4</f>
        <v>2.4046880286268481E-2</v>
      </c>
      <c r="S5" s="15" t="s">
        <v>54</v>
      </c>
      <c r="U5" s="7" t="s">
        <v>249</v>
      </c>
      <c r="V5" s="7">
        <f>+G10</f>
        <v>6897.9152000000004</v>
      </c>
    </row>
    <row r="6" spans="2:22" x14ac:dyDescent="0.25">
      <c r="B6" s="16" t="s">
        <v>60</v>
      </c>
      <c r="C6" s="5">
        <v>45839</v>
      </c>
      <c r="D6" s="31" t="s">
        <v>104</v>
      </c>
      <c r="E6" s="32">
        <v>45900</v>
      </c>
      <c r="F6" s="7">
        <v>16717.72</v>
      </c>
      <c r="G6" s="7">
        <f>+F6*0.22</f>
        <v>3677.8984000000005</v>
      </c>
      <c r="H6" s="7">
        <f>+F6+G6</f>
        <v>20395.618400000003</v>
      </c>
      <c r="I6" s="7">
        <f>+F6*0.05</f>
        <v>835.88600000000008</v>
      </c>
      <c r="J6" s="7">
        <f t="shared" si="0"/>
        <v>15881.834000000001</v>
      </c>
      <c r="K6" s="7">
        <f>+J6</f>
        <v>15881.834000000001</v>
      </c>
      <c r="L6" s="7">
        <v>15882.1</v>
      </c>
      <c r="M6" s="9">
        <v>45919</v>
      </c>
      <c r="N6" s="2"/>
      <c r="O6" s="2">
        <v>8</v>
      </c>
      <c r="P6" s="7">
        <f>+'AyD $'!F6</f>
        <v>309912</v>
      </c>
      <c r="Q6" s="18">
        <f>+F6/P6</f>
        <v>5.3943442009344589E-2</v>
      </c>
      <c r="R6" s="18">
        <f>+Q6-Q5</f>
        <v>-2.0748341078261553E-2</v>
      </c>
      <c r="S6" s="15" t="s">
        <v>62</v>
      </c>
      <c r="U6" s="7" t="s">
        <v>252</v>
      </c>
      <c r="V6" s="7">
        <f>+H10</f>
        <v>38252.075200000007</v>
      </c>
    </row>
    <row r="7" spans="2:22" x14ac:dyDescent="0.25">
      <c r="B7" s="132" t="s">
        <v>318</v>
      </c>
      <c r="C7" s="222">
        <v>46143</v>
      </c>
      <c r="D7" s="133" t="s">
        <v>320</v>
      </c>
      <c r="E7" s="134">
        <v>46203</v>
      </c>
      <c r="F7" s="81">
        <v>-37121.11</v>
      </c>
      <c r="G7" s="81">
        <f>+F7*0.22</f>
        <v>-8166.6441999999997</v>
      </c>
      <c r="H7" s="81">
        <f>+F7+G7</f>
        <v>-45287.754200000003</v>
      </c>
      <c r="I7" s="81">
        <f>+F7*0.05</f>
        <v>-1856.0555000000002</v>
      </c>
      <c r="J7" s="81">
        <f t="shared" ref="J7:J8" si="1">+F7-I7</f>
        <v>-35265.054499999998</v>
      </c>
      <c r="K7" s="225">
        <f>+J7+J8</f>
        <v>-28047.695499999998</v>
      </c>
      <c r="L7" s="187">
        <v>-28048</v>
      </c>
      <c r="M7" s="218">
        <v>46233</v>
      </c>
      <c r="N7" s="209" t="s">
        <v>344</v>
      </c>
      <c r="O7" s="227">
        <v>18</v>
      </c>
      <c r="P7" s="187">
        <f>+'AyD $'!F7+'AyD $'!F8</f>
        <v>-388307.41000000003</v>
      </c>
      <c r="Q7" s="212">
        <f>(+F7+F8)/P7</f>
        <v>7.6032260110616992E-2</v>
      </c>
      <c r="R7" s="212">
        <f>+Q7-Q6</f>
        <v>2.2088818101272403E-2</v>
      </c>
      <c r="S7" s="197" t="s">
        <v>311</v>
      </c>
      <c r="U7" s="7" t="s">
        <v>247</v>
      </c>
      <c r="V7" s="7">
        <f>+I10</f>
        <v>1567.7080000000001</v>
      </c>
    </row>
    <row r="8" spans="2:22" x14ac:dyDescent="0.25">
      <c r="B8" s="132" t="s">
        <v>319</v>
      </c>
      <c r="C8" s="222"/>
      <c r="D8" s="135" t="s">
        <v>321</v>
      </c>
      <c r="E8" s="134">
        <v>46203</v>
      </c>
      <c r="F8" s="81">
        <v>7597.22</v>
      </c>
      <c r="G8" s="81">
        <f>+F8*0.22</f>
        <v>1671.3884</v>
      </c>
      <c r="H8" s="81">
        <f>+F8+G8</f>
        <v>9268.608400000001</v>
      </c>
      <c r="I8" s="81">
        <f>+F8*0.05</f>
        <v>379.86100000000005</v>
      </c>
      <c r="J8" s="81">
        <f t="shared" si="1"/>
        <v>7217.3590000000004</v>
      </c>
      <c r="K8" s="225"/>
      <c r="L8" s="210"/>
      <c r="M8" s="219"/>
      <c r="N8" s="206"/>
      <c r="O8" s="228"/>
      <c r="P8" s="210"/>
      <c r="Q8" s="213"/>
      <c r="R8" s="213"/>
      <c r="S8" s="226"/>
      <c r="U8" s="7" t="s">
        <v>7</v>
      </c>
      <c r="V8" s="7">
        <f>+L10</f>
        <v>29786.413499999995</v>
      </c>
    </row>
    <row r="10" spans="2:22" x14ac:dyDescent="0.25">
      <c r="B10" s="13"/>
      <c r="F10" s="22">
        <f>SUM(F4:F9)</f>
        <v>31354.160000000003</v>
      </c>
      <c r="G10" s="22">
        <f>SUM(G4:G9)</f>
        <v>6897.9152000000004</v>
      </c>
      <c r="H10" s="22">
        <f>SUM(H4:H9)</f>
        <v>38252.075200000007</v>
      </c>
      <c r="I10" s="22">
        <f>SUM(I4:I9)</f>
        <v>1567.7080000000001</v>
      </c>
      <c r="J10" s="22">
        <f t="shared" ref="J10:M10" si="2">SUM(J4:J9)</f>
        <v>29786.452000000001</v>
      </c>
      <c r="K10" s="22"/>
      <c r="L10" s="22">
        <f t="shared" si="2"/>
        <v>29786.413499999995</v>
      </c>
      <c r="M10" s="22">
        <f t="shared" si="2"/>
        <v>183934</v>
      </c>
      <c r="N10" s="22"/>
      <c r="O10" s="22"/>
      <c r="R10" s="19"/>
    </row>
  </sheetData>
  <mergeCells count="12">
    <mergeCell ref="U3:V3"/>
    <mergeCell ref="C7:C8"/>
    <mergeCell ref="J3:K3"/>
    <mergeCell ref="K7:K8"/>
    <mergeCell ref="P7:P8"/>
    <mergeCell ref="Q7:Q8"/>
    <mergeCell ref="R7:R8"/>
    <mergeCell ref="S7:S8"/>
    <mergeCell ref="L7:L8"/>
    <mergeCell ref="O7:O8"/>
    <mergeCell ref="M7:M8"/>
    <mergeCell ref="N7:N8"/>
  </mergeCells>
  <phoneticPr fontId="3" type="noConversion"/>
  <pageMargins left="0.7" right="0.7" top="0.75" bottom="0.75" header="0.3" footer="0.3"/>
  <pageSetup paperSize="9" scale="43" orientation="landscape" r:id="rId1"/>
  <ignoredErrors>
    <ignoredError sqref="S4:S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F1EB-ECA0-4462-8CF3-F31A7CAFCD96}">
  <sheetPr codeName="Hoja11"/>
  <dimension ref="B2:X53"/>
  <sheetViews>
    <sheetView workbookViewId="0">
      <pane ySplit="3" topLeftCell="A28" activePane="bottomLeft" state="frozen"/>
      <selection pane="bottomLeft" activeCell="J41" sqref="J41"/>
    </sheetView>
  </sheetViews>
  <sheetFormatPr baseColWidth="10" defaultColWidth="11.42578125" defaultRowHeight="15" x14ac:dyDescent="0.25"/>
  <cols>
    <col min="1" max="1" width="11.42578125" style="1"/>
    <col min="2" max="2" width="12.85546875" style="1" customWidth="1"/>
    <col min="3" max="3" width="96.140625" style="1" bestFit="1" customWidth="1"/>
    <col min="4" max="4" width="14" style="1" customWidth="1"/>
    <col min="5" max="5" width="14.140625" style="1" customWidth="1"/>
    <col min="6" max="6" width="15.7109375" style="1" customWidth="1"/>
    <col min="7" max="9" width="15.7109375" style="8" customWidth="1"/>
    <col min="10" max="10" width="35.42578125" style="8" customWidth="1"/>
    <col min="11" max="11" width="45.42578125" style="8" customWidth="1"/>
    <col min="12" max="12" width="40.85546875" style="8" customWidth="1"/>
    <col min="13" max="13" width="14.85546875" style="8" customWidth="1"/>
    <col min="14" max="16" width="11.42578125" style="1"/>
    <col min="17" max="19" width="11.42578125" style="86"/>
    <col min="20" max="20" width="33.7109375" style="86" bestFit="1" customWidth="1"/>
    <col min="21" max="21" width="43.5703125" style="86" bestFit="1" customWidth="1"/>
    <col min="22" max="22" width="16.7109375" style="86" customWidth="1"/>
    <col min="23" max="23" width="11.42578125" style="1"/>
    <col min="24" max="24" width="23" style="1" customWidth="1"/>
    <col min="25" max="16384" width="11.42578125" style="1"/>
  </cols>
  <sheetData>
    <row r="2" spans="2:22" x14ac:dyDescent="0.25">
      <c r="B2" s="190" t="s">
        <v>32</v>
      </c>
      <c r="C2" s="190" t="s">
        <v>64</v>
      </c>
      <c r="D2" s="161" t="s">
        <v>84</v>
      </c>
      <c r="E2" s="195"/>
      <c r="F2" s="195"/>
      <c r="G2" s="195"/>
      <c r="H2" s="195"/>
      <c r="I2" s="195"/>
      <c r="J2" s="195"/>
      <c r="K2" s="195"/>
      <c r="L2" s="195"/>
      <c r="M2" s="195"/>
      <c r="N2" s="158" t="s">
        <v>85</v>
      </c>
      <c r="O2" s="158"/>
      <c r="P2" s="158"/>
      <c r="Q2" s="158"/>
      <c r="R2" s="158"/>
      <c r="S2" s="158"/>
      <c r="T2" s="158"/>
      <c r="U2" s="158"/>
      <c r="V2" s="158"/>
    </row>
    <row r="3" spans="2:22" x14ac:dyDescent="0.25">
      <c r="B3" s="190"/>
      <c r="C3" s="190"/>
      <c r="D3" s="56" t="s">
        <v>3</v>
      </c>
      <c r="E3" s="54" t="s">
        <v>4</v>
      </c>
      <c r="F3" s="54" t="s">
        <v>5</v>
      </c>
      <c r="G3" s="6" t="s">
        <v>9</v>
      </c>
      <c r="H3" s="6" t="s">
        <v>10</v>
      </c>
      <c r="I3" s="6" t="s">
        <v>11</v>
      </c>
      <c r="J3" s="6" t="s">
        <v>47</v>
      </c>
      <c r="K3" s="6" t="s">
        <v>48</v>
      </c>
      <c r="L3" s="6" t="s">
        <v>33</v>
      </c>
      <c r="M3" s="54" t="s">
        <v>6</v>
      </c>
      <c r="N3" s="54" t="s">
        <v>3</v>
      </c>
      <c r="O3" s="54" t="s">
        <v>4</v>
      </c>
      <c r="P3" s="54" t="s">
        <v>5</v>
      </c>
      <c r="Q3" s="83" t="s">
        <v>9</v>
      </c>
      <c r="R3" s="83" t="s">
        <v>10</v>
      </c>
      <c r="S3" s="83" t="s">
        <v>11</v>
      </c>
      <c r="T3" s="83" t="s">
        <v>47</v>
      </c>
      <c r="U3" s="83" t="s">
        <v>48</v>
      </c>
      <c r="V3" s="84" t="s">
        <v>6</v>
      </c>
    </row>
    <row r="4" spans="2:22" x14ac:dyDescent="0.25">
      <c r="B4" s="57" t="s">
        <v>19</v>
      </c>
      <c r="C4" s="58" t="s">
        <v>86</v>
      </c>
      <c r="D4" s="7">
        <f>+'Básico $'!F4</f>
        <v>3020726</v>
      </c>
      <c r="E4" s="7">
        <f>+'Básico $'!G4</f>
        <v>664559.72</v>
      </c>
      <c r="F4" s="7">
        <f>+'Básico $'!H4</f>
        <v>3685285.7199999997</v>
      </c>
      <c r="G4" s="55">
        <f>+'Básico $'!I4</f>
        <v>0</v>
      </c>
      <c r="H4" s="55">
        <f>+'Básico $'!J4</f>
        <v>0</v>
      </c>
      <c r="I4" s="55">
        <f>+'Básico $'!K4</f>
        <v>0</v>
      </c>
      <c r="J4" s="55">
        <f>+'Básico $'!L4</f>
        <v>151036.30000000002</v>
      </c>
      <c r="K4" s="55">
        <f>+'Básico $'!M4</f>
        <v>75518.150000000009</v>
      </c>
      <c r="L4" s="55">
        <f>+'Básico $'!O4</f>
        <v>0</v>
      </c>
      <c r="M4" s="55">
        <f>+'Básico $'!P4</f>
        <v>2794171.5500000003</v>
      </c>
      <c r="N4" s="7"/>
      <c r="O4" s="7"/>
      <c r="P4" s="7"/>
      <c r="Q4" s="85"/>
      <c r="R4" s="85"/>
      <c r="S4" s="85"/>
      <c r="T4" s="85"/>
      <c r="U4" s="85"/>
      <c r="V4" s="85"/>
    </row>
    <row r="5" spans="2:22" x14ac:dyDescent="0.25">
      <c r="B5" s="50" t="s">
        <v>20</v>
      </c>
      <c r="C5" s="59" t="s">
        <v>97</v>
      </c>
      <c r="D5" s="7">
        <f>+'Básico $'!F5</f>
        <v>2620526</v>
      </c>
      <c r="E5" s="7">
        <f>+'Básico $'!G5</f>
        <v>576515.72</v>
      </c>
      <c r="F5" s="7">
        <f>+'Básico $'!H5</f>
        <v>3197041.7199999997</v>
      </c>
      <c r="G5" s="55">
        <f>+'Básico $'!I5</f>
        <v>0</v>
      </c>
      <c r="H5" s="55">
        <f>+'Básico $'!J5</f>
        <v>0</v>
      </c>
      <c r="I5" s="55">
        <f>+'Básico $'!K5</f>
        <v>0</v>
      </c>
      <c r="J5" s="55">
        <f>+'Básico $'!L5</f>
        <v>131026.3</v>
      </c>
      <c r="K5" s="55">
        <f>+'Básico $'!M5</f>
        <v>65513.15</v>
      </c>
      <c r="L5" s="55">
        <f>+'Básico $'!O5</f>
        <v>0</v>
      </c>
      <c r="M5" s="55">
        <f>+'Básico $'!P5</f>
        <v>2423986.5500000003</v>
      </c>
      <c r="N5" s="7"/>
      <c r="O5" s="7"/>
      <c r="P5" s="7"/>
      <c r="Q5" s="85"/>
      <c r="R5" s="85"/>
      <c r="S5" s="85"/>
      <c r="T5" s="85"/>
      <c r="U5" s="85"/>
      <c r="V5" s="85"/>
    </row>
    <row r="6" spans="2:22" x14ac:dyDescent="0.25">
      <c r="B6" s="50" t="s">
        <v>21</v>
      </c>
      <c r="C6" s="59" t="s">
        <v>87</v>
      </c>
      <c r="D6" s="7">
        <f>+'Básico $'!F6</f>
        <v>7539478</v>
      </c>
      <c r="E6" s="7">
        <f>+'Básico $'!G6</f>
        <v>1658685.16</v>
      </c>
      <c r="F6" s="7">
        <f>+'Básico $'!H6</f>
        <v>9198163.1600000001</v>
      </c>
      <c r="G6" s="55">
        <f>+'Básico $'!I6</f>
        <v>0</v>
      </c>
      <c r="H6" s="55">
        <f>+'Básico $'!J6</f>
        <v>0</v>
      </c>
      <c r="I6" s="55">
        <f>+'Básico $'!K6</f>
        <v>0</v>
      </c>
      <c r="J6" s="55">
        <f>+'Básico $'!L6</f>
        <v>376973.9</v>
      </c>
      <c r="K6" s="55">
        <f>+'Básico $'!M6</f>
        <v>188486.95</v>
      </c>
      <c r="L6" s="55">
        <f>+'Básico $'!O6</f>
        <v>0</v>
      </c>
      <c r="M6" s="55">
        <f>+'Básico $'!P6</f>
        <v>6974017.1499999994</v>
      </c>
      <c r="N6" s="7"/>
      <c r="O6" s="7"/>
      <c r="P6" s="7"/>
      <c r="Q6" s="85"/>
      <c r="R6" s="85"/>
      <c r="S6" s="85"/>
      <c r="T6" s="85"/>
      <c r="U6" s="85"/>
      <c r="V6" s="85"/>
    </row>
    <row r="7" spans="2:22" x14ac:dyDescent="0.25">
      <c r="B7" s="50" t="s">
        <v>22</v>
      </c>
      <c r="C7" s="59" t="s">
        <v>88</v>
      </c>
      <c r="D7" s="7">
        <f>+'Básico $'!F7</f>
        <v>14122299</v>
      </c>
      <c r="E7" s="7">
        <f>+'Básico $'!G7</f>
        <v>3106905.78</v>
      </c>
      <c r="F7" s="7">
        <f>+'Básico $'!H7</f>
        <v>17229204.780000001</v>
      </c>
      <c r="G7" s="55">
        <f>+'Básico $'!I7</f>
        <v>0</v>
      </c>
      <c r="H7" s="55">
        <f>+'Básico $'!J7</f>
        <v>0</v>
      </c>
      <c r="I7" s="55">
        <f>+'Básico $'!K7</f>
        <v>0</v>
      </c>
      <c r="J7" s="55">
        <f>+'Básico $'!L7</f>
        <v>706114.95000000007</v>
      </c>
      <c r="K7" s="55">
        <f>+'Básico $'!M7</f>
        <v>353057.47500000003</v>
      </c>
      <c r="L7" s="55">
        <f>+'Básico $'!O7</f>
        <v>0</v>
      </c>
      <c r="M7" s="55">
        <f>+'Básico $'!P7</f>
        <v>13063126.575000001</v>
      </c>
      <c r="N7" s="7"/>
      <c r="O7" s="7"/>
      <c r="P7" s="7"/>
      <c r="Q7" s="85"/>
      <c r="R7" s="85"/>
      <c r="S7" s="85"/>
      <c r="T7" s="85"/>
      <c r="U7" s="85"/>
      <c r="V7" s="85"/>
    </row>
    <row r="8" spans="2:22" x14ac:dyDescent="0.25">
      <c r="B8" s="50" t="s">
        <v>23</v>
      </c>
      <c r="C8" s="59" t="s">
        <v>89</v>
      </c>
      <c r="D8" s="7">
        <f>+'Básico $'!F8</f>
        <v>7660122</v>
      </c>
      <c r="E8" s="7">
        <f>+'Básico $'!G8</f>
        <v>1685226.84</v>
      </c>
      <c r="F8" s="7">
        <f>+'Básico $'!H8</f>
        <v>9345348.8399999999</v>
      </c>
      <c r="G8" s="55">
        <f>+'Básico $'!I8</f>
        <v>0</v>
      </c>
      <c r="H8" s="55">
        <f>+'Básico $'!J8</f>
        <v>0</v>
      </c>
      <c r="I8" s="55">
        <f>+'Básico $'!K8</f>
        <v>0</v>
      </c>
      <c r="J8" s="55">
        <f>+'Básico $'!L8</f>
        <v>383006.10000000003</v>
      </c>
      <c r="K8" s="55">
        <f>+'Básico $'!M8</f>
        <v>191503.05000000002</v>
      </c>
      <c r="L8" s="55">
        <f>+'Básico $'!O8</f>
        <v>0</v>
      </c>
      <c r="M8" s="55">
        <f>+'Básico $'!P8</f>
        <v>7085612.8500000006</v>
      </c>
      <c r="N8" s="7"/>
      <c r="O8" s="7"/>
      <c r="P8" s="7"/>
      <c r="Q8" s="85"/>
      <c r="R8" s="85"/>
      <c r="S8" s="85"/>
      <c r="T8" s="85"/>
      <c r="U8" s="85"/>
      <c r="V8" s="85"/>
    </row>
    <row r="9" spans="2:22" x14ac:dyDescent="0.25">
      <c r="B9" s="53" t="s">
        <v>68</v>
      </c>
      <c r="C9" s="60" t="s">
        <v>90</v>
      </c>
      <c r="D9" s="7">
        <f>+Acopios!E7</f>
        <v>8935691.8000000007</v>
      </c>
      <c r="E9" s="7">
        <v>0</v>
      </c>
      <c r="F9" s="7">
        <f>+D9</f>
        <v>8935691.8000000007</v>
      </c>
      <c r="G9" s="55"/>
      <c r="H9" s="55"/>
      <c r="I9" s="55"/>
      <c r="J9" s="55"/>
      <c r="K9" s="55"/>
      <c r="L9" s="55"/>
      <c r="M9" s="55">
        <v>8935691.8000000007</v>
      </c>
      <c r="N9" s="7">
        <f>+Acopios!E8+Acopios!E9</f>
        <v>21774.14</v>
      </c>
      <c r="O9" s="7">
        <v>0</v>
      </c>
      <c r="P9" s="7">
        <f>+N9</f>
        <v>21774.14</v>
      </c>
      <c r="Q9" s="85"/>
      <c r="R9" s="85"/>
      <c r="S9" s="85"/>
      <c r="T9" s="85"/>
      <c r="U9" s="85"/>
      <c r="V9" s="85">
        <v>21774.14</v>
      </c>
    </row>
    <row r="10" spans="2:22" x14ac:dyDescent="0.25">
      <c r="B10" s="51" t="s">
        <v>35</v>
      </c>
      <c r="C10" s="2" t="s">
        <v>91</v>
      </c>
      <c r="D10" s="7">
        <f>+AP!F3</f>
        <v>60057.54</v>
      </c>
      <c r="E10" s="7">
        <f>+AP!G3</f>
        <v>13212.658800000001</v>
      </c>
      <c r="F10" s="7">
        <f>+AP!H3</f>
        <v>73270.198799999998</v>
      </c>
      <c r="G10" s="55"/>
      <c r="H10" s="55"/>
      <c r="I10" s="55"/>
      <c r="J10" s="55">
        <f>+AP!I3</f>
        <v>3002.8770000000004</v>
      </c>
      <c r="K10" s="55">
        <f>+AP!J3</f>
        <v>1501.4385000000002</v>
      </c>
      <c r="L10" s="55">
        <f>+AP!L3</f>
        <v>1931</v>
      </c>
      <c r="M10" s="55">
        <f>+AP!M3</f>
        <v>53622.224499999997</v>
      </c>
      <c r="N10" s="7"/>
      <c r="O10" s="7"/>
      <c r="P10" s="7"/>
      <c r="Q10" s="85"/>
      <c r="R10" s="85"/>
      <c r="S10" s="85"/>
      <c r="T10" s="85"/>
      <c r="U10" s="85"/>
      <c r="V10" s="85"/>
    </row>
    <row r="11" spans="2:22" x14ac:dyDescent="0.25">
      <c r="B11" s="51" t="s">
        <v>36</v>
      </c>
      <c r="C11" s="2" t="s">
        <v>92</v>
      </c>
      <c r="D11" s="7">
        <f>+AP!F4</f>
        <v>57599.76</v>
      </c>
      <c r="E11" s="7">
        <f>+AP!G4</f>
        <v>12671.947200000001</v>
      </c>
      <c r="F11" s="7">
        <f>+AP!H4</f>
        <v>70271.707200000004</v>
      </c>
      <c r="G11" s="55"/>
      <c r="H11" s="55"/>
      <c r="I11" s="55"/>
      <c r="J11" s="55">
        <f>+AP!I4</f>
        <v>2879.9880000000003</v>
      </c>
      <c r="K11" s="55">
        <f>+AP!J4</f>
        <v>1439.9940000000001</v>
      </c>
      <c r="L11" s="55">
        <f>+AP!L4</f>
        <v>821</v>
      </c>
      <c r="M11" s="55">
        <f>+AP!M4</f>
        <v>52458.778000000006</v>
      </c>
      <c r="N11" s="7"/>
      <c r="O11" s="7"/>
      <c r="P11" s="7"/>
      <c r="Q11" s="85"/>
      <c r="R11" s="85"/>
      <c r="S11" s="85"/>
      <c r="T11" s="85"/>
      <c r="U11" s="85"/>
      <c r="V11" s="85"/>
    </row>
    <row r="12" spans="2:22" x14ac:dyDescent="0.25">
      <c r="B12" s="51" t="s">
        <v>37</v>
      </c>
      <c r="C12" s="2" t="s">
        <v>93</v>
      </c>
      <c r="D12" s="7">
        <f>+AP!F5</f>
        <v>210401.13</v>
      </c>
      <c r="E12" s="7">
        <f>+AP!G5</f>
        <v>46288.248599999999</v>
      </c>
      <c r="F12" s="7">
        <f>+AP!H5</f>
        <v>256689.3786</v>
      </c>
      <c r="G12" s="55"/>
      <c r="H12" s="55"/>
      <c r="I12" s="55"/>
      <c r="J12" s="55">
        <f>+AP!I5</f>
        <v>10520.056500000001</v>
      </c>
      <c r="K12" s="55">
        <f>+AP!J5</f>
        <v>5260.0282500000003</v>
      </c>
      <c r="L12" s="55">
        <f>+AP!L5</f>
        <v>4689</v>
      </c>
      <c r="M12" s="55">
        <f>+AP!M5</f>
        <v>189932.04525</v>
      </c>
      <c r="N12" s="7"/>
      <c r="O12" s="7"/>
      <c r="P12" s="7"/>
      <c r="Q12" s="85"/>
      <c r="R12" s="85"/>
      <c r="S12" s="85"/>
      <c r="T12" s="85"/>
      <c r="U12" s="85"/>
      <c r="V12" s="85"/>
    </row>
    <row r="13" spans="2:22" x14ac:dyDescent="0.25">
      <c r="B13" s="51" t="s">
        <v>39</v>
      </c>
      <c r="C13" s="2" t="s">
        <v>94</v>
      </c>
      <c r="D13" s="7">
        <f>+AP!F6</f>
        <v>395161.09</v>
      </c>
      <c r="E13" s="7">
        <f>+AP!G6</f>
        <v>86935.439800000007</v>
      </c>
      <c r="F13" s="7">
        <f>+AP!H6</f>
        <v>482096.52980000002</v>
      </c>
      <c r="G13" s="55"/>
      <c r="H13" s="55"/>
      <c r="I13" s="55"/>
      <c r="J13" s="55">
        <f>+AP!I6</f>
        <v>19758.054500000002</v>
      </c>
      <c r="K13" s="55">
        <f>+AP!J6</f>
        <v>9879.027250000001</v>
      </c>
      <c r="L13" s="55">
        <f>+AP!L6</f>
        <v>8187</v>
      </c>
      <c r="M13" s="55">
        <f>+AP!M6</f>
        <v>357337.00825000001</v>
      </c>
      <c r="N13" s="7"/>
      <c r="O13" s="7"/>
      <c r="P13" s="7"/>
      <c r="Q13" s="85"/>
      <c r="R13" s="85"/>
      <c r="S13" s="85"/>
      <c r="T13" s="85"/>
      <c r="U13" s="85"/>
      <c r="V13" s="85"/>
    </row>
    <row r="14" spans="2:22" x14ac:dyDescent="0.25">
      <c r="B14" s="51" t="s">
        <v>40</v>
      </c>
      <c r="C14" s="2" t="s">
        <v>95</v>
      </c>
      <c r="D14" s="7">
        <f>+AP!F7</f>
        <v>445592.4</v>
      </c>
      <c r="E14" s="7">
        <f>+AP!G7</f>
        <v>98030.328000000009</v>
      </c>
      <c r="F14" s="7">
        <f>+AP!H7</f>
        <v>543622.728</v>
      </c>
      <c r="G14" s="55"/>
      <c r="H14" s="55"/>
      <c r="I14" s="55"/>
      <c r="J14" s="55">
        <f>+AP!I7</f>
        <v>22279.620000000003</v>
      </c>
      <c r="K14" s="55">
        <f>+AP!J7</f>
        <v>11139.810000000001</v>
      </c>
      <c r="L14" s="55">
        <f>+AP!L7</f>
        <v>7976</v>
      </c>
      <c r="M14" s="55">
        <f>+AP!M7</f>
        <v>404196.97000000003</v>
      </c>
      <c r="N14" s="7"/>
      <c r="O14" s="7"/>
      <c r="P14" s="7"/>
      <c r="Q14" s="85"/>
      <c r="R14" s="85"/>
      <c r="S14" s="85"/>
      <c r="T14" s="85"/>
      <c r="U14" s="85"/>
      <c r="V14" s="85"/>
    </row>
    <row r="15" spans="2:22" x14ac:dyDescent="0.25">
      <c r="B15" s="50" t="s">
        <v>34</v>
      </c>
      <c r="C15" s="59" t="s">
        <v>96</v>
      </c>
      <c r="D15" s="7">
        <f>+'Básico $'!F9</f>
        <v>13979077</v>
      </c>
      <c r="E15" s="7">
        <f>+'Básico $'!G9</f>
        <v>3075396.94</v>
      </c>
      <c r="F15" s="7">
        <f>+'Básico $'!H9</f>
        <v>17054473.940000001</v>
      </c>
      <c r="G15" s="55">
        <f>+'Básico $'!I9</f>
        <v>303318.01274599996</v>
      </c>
      <c r="H15" s="55">
        <f>+'Básico $'!J9</f>
        <v>0</v>
      </c>
      <c r="I15" s="55">
        <f>+'Básico $'!K9</f>
        <v>0</v>
      </c>
      <c r="J15" s="55">
        <f>+'Básico $'!L9</f>
        <v>698953.85000000009</v>
      </c>
      <c r="K15" s="55">
        <f>+'Básico $'!M9</f>
        <v>349476.92500000005</v>
      </c>
      <c r="L15" s="55">
        <f>+'Básico $'!O9</f>
        <v>0</v>
      </c>
      <c r="M15" s="55">
        <f>+'Básico $'!P9</f>
        <v>12627328.212253999</v>
      </c>
      <c r="N15" s="7"/>
      <c r="O15" s="7"/>
      <c r="P15" s="7"/>
      <c r="Q15" s="85"/>
      <c r="R15" s="85"/>
      <c r="S15" s="85"/>
      <c r="T15" s="85"/>
      <c r="U15" s="85"/>
      <c r="V15" s="85"/>
    </row>
    <row r="16" spans="2:22" x14ac:dyDescent="0.25">
      <c r="B16" s="50" t="s">
        <v>38</v>
      </c>
      <c r="C16" s="59" t="s">
        <v>98</v>
      </c>
      <c r="D16" s="7">
        <f>+'Básico $'!F10</f>
        <v>14933843.48</v>
      </c>
      <c r="E16" s="7">
        <f>+'Básico $'!G10</f>
        <v>3285445.5656000003</v>
      </c>
      <c r="F16" s="7">
        <f>+'Básico $'!H10</f>
        <v>18219289.045600001</v>
      </c>
      <c r="G16" s="55">
        <f>+'Básico $'!I10</f>
        <v>324034.53582903999</v>
      </c>
      <c r="H16" s="55">
        <f>+'Básico $'!J10</f>
        <v>0</v>
      </c>
      <c r="I16" s="55">
        <f>+'Básico $'!K10</f>
        <v>0</v>
      </c>
      <c r="J16" s="55">
        <f>+'Básico $'!L10</f>
        <v>746692.17400000012</v>
      </c>
      <c r="K16" s="55">
        <f>+'Básico $'!M10</f>
        <v>373346.08700000006</v>
      </c>
      <c r="L16" s="55">
        <f>+'Básico $'!O10</f>
        <v>11546</v>
      </c>
      <c r="M16" s="55">
        <f>+'Básico $'!P10</f>
        <v>13478224.683170961</v>
      </c>
      <c r="N16" s="7"/>
      <c r="O16" s="7"/>
      <c r="P16" s="7"/>
      <c r="Q16" s="85"/>
      <c r="R16" s="85"/>
      <c r="S16" s="85"/>
      <c r="T16" s="85"/>
      <c r="U16" s="85"/>
      <c r="V16" s="85"/>
    </row>
    <row r="17" spans="2:22" x14ac:dyDescent="0.25">
      <c r="B17" s="53" t="s">
        <v>49</v>
      </c>
      <c r="C17" s="60" t="s">
        <v>180</v>
      </c>
      <c r="D17" s="7">
        <f>+'AyD $'!F4+'AyD $'!F5</f>
        <v>635744.78993839817</v>
      </c>
      <c r="E17" s="7">
        <f>+'AyD $'!G4+'AyD $'!G5</f>
        <v>139863.85378644761</v>
      </c>
      <c r="F17" s="7">
        <f>+'AyD $'!H4+'AyD $'!H5</f>
        <v>775608.64372484572</v>
      </c>
      <c r="G17" s="55"/>
      <c r="H17" s="55"/>
      <c r="I17" s="55"/>
      <c r="J17" s="55">
        <f>+'AyD $'!K4</f>
        <v>4608.472990504034</v>
      </c>
      <c r="K17" s="55"/>
      <c r="L17" s="55"/>
      <c r="M17" s="55">
        <f>+'AyD $'!L4+'AyD $'!L5</f>
        <v>560177.05703168991</v>
      </c>
      <c r="N17" s="7"/>
      <c r="O17" s="7"/>
      <c r="P17" s="7"/>
      <c r="Q17" s="85"/>
      <c r="R17" s="85"/>
      <c r="S17" s="85"/>
      <c r="T17" s="85"/>
      <c r="U17" s="85"/>
      <c r="V17" s="85"/>
    </row>
    <row r="18" spans="2:22" x14ac:dyDescent="0.25">
      <c r="B18" s="52" t="s">
        <v>52</v>
      </c>
      <c r="C18" s="61" t="s">
        <v>99</v>
      </c>
      <c r="D18" s="7">
        <f>+'Básico $'!F11+AP!F9+AP!F10</f>
        <v>17055903.190000001</v>
      </c>
      <c r="E18" s="7">
        <f>+'Básico $'!G11+AP!G9+AP!G10</f>
        <v>3752298.7017999999</v>
      </c>
      <c r="F18" s="7">
        <f>+'Básico $'!H11+AP!H9+AP!H10</f>
        <v>20808201.891800001</v>
      </c>
      <c r="G18" s="55">
        <f>+'Básico $'!I11</f>
        <v>334477.68775783997</v>
      </c>
      <c r="H18" s="55">
        <f>+'Básico $'!J11</f>
        <v>0</v>
      </c>
      <c r="I18" s="55">
        <f>+'Básico $'!K11</f>
        <v>0</v>
      </c>
      <c r="J18" s="55">
        <f>+'Básico $'!L11+AP!I9+AP!I10</f>
        <v>852795.15950000007</v>
      </c>
      <c r="K18" s="55">
        <f>+'Básico $'!M11+AP!J9+AP!J10</f>
        <v>426397.57975000003</v>
      </c>
      <c r="L18" s="55">
        <f>+'Básico $'!O11+AP!L9+AP!L10</f>
        <v>0</v>
      </c>
      <c r="M18" s="55">
        <f>+'Básico $'!P11+AP!M9+AP!M10</f>
        <v>15442232.762992159</v>
      </c>
      <c r="N18" s="7"/>
      <c r="O18" s="7"/>
      <c r="P18" s="7"/>
      <c r="Q18" s="85"/>
      <c r="R18" s="85"/>
      <c r="S18" s="85"/>
      <c r="T18" s="85"/>
      <c r="U18" s="85"/>
      <c r="V18" s="85"/>
    </row>
    <row r="19" spans="2:22" x14ac:dyDescent="0.25">
      <c r="B19" s="50" t="s">
        <v>54</v>
      </c>
      <c r="C19" s="59" t="s">
        <v>181</v>
      </c>
      <c r="D19" s="7">
        <f>+'AyD $'!F6+'AP Adicionales'!F4+'AP Adicionales'!F5</f>
        <v>354072.33</v>
      </c>
      <c r="E19" s="7">
        <f>+'AyD $'!G6+'AP Adicionales'!G4+'AP Adicionales'!G5</f>
        <v>77895.912599999996</v>
      </c>
      <c r="F19" s="7">
        <f>+'AyD $'!H6+'AP Adicionales'!H4+'AP Adicionales'!H5</f>
        <v>431968.2426</v>
      </c>
      <c r="G19" s="55"/>
      <c r="H19" s="55"/>
      <c r="I19" s="55"/>
      <c r="J19" s="55">
        <f>+'AyD $'!K6+'AP Adicionales'!I4+'AP Adicionales'!I5</f>
        <v>17703.6165</v>
      </c>
      <c r="K19" s="55"/>
      <c r="L19" s="55"/>
      <c r="M19" s="55">
        <f>+'AyD $'!L6+'AP Adicionales'!J4+'AP Adicionales'!J5</f>
        <v>336368.71350000001</v>
      </c>
      <c r="N19" s="7"/>
      <c r="O19" s="7"/>
      <c r="P19" s="7"/>
      <c r="Q19" s="85"/>
      <c r="R19" s="85"/>
      <c r="S19" s="85"/>
      <c r="T19" s="85"/>
      <c r="U19" s="85"/>
      <c r="V19" s="85"/>
    </row>
    <row r="20" spans="2:22" x14ac:dyDescent="0.25">
      <c r="B20" s="52" t="s">
        <v>61</v>
      </c>
      <c r="C20" s="61" t="s">
        <v>100</v>
      </c>
      <c r="D20" s="7">
        <f>+'Básico $'!F12+AP!F11</f>
        <v>22501351.739999998</v>
      </c>
      <c r="E20" s="7">
        <f>+'Básico $'!G12+AP!G11</f>
        <v>4950297.3827999998</v>
      </c>
      <c r="F20" s="7">
        <f>+'Básico $'!H12+AP!H11</f>
        <v>27451649.1228</v>
      </c>
      <c r="G20" s="55">
        <f>+'Básico $'!I12</f>
        <v>470115.29060799995</v>
      </c>
      <c r="H20" s="55">
        <f>+'Básico $'!J12</f>
        <v>0</v>
      </c>
      <c r="I20" s="55">
        <f>+'Básico $'!K12</f>
        <v>0</v>
      </c>
      <c r="J20" s="55">
        <f>+'Básico $'!L12+AP!I11</f>
        <v>1125067.5870000001</v>
      </c>
      <c r="K20" s="55">
        <f>+'Básico $'!M12+AP!J11</f>
        <v>562533.79350000003</v>
      </c>
      <c r="L20" s="55">
        <f>+'Básico $'!O12+AP!L11</f>
        <v>28774</v>
      </c>
      <c r="M20" s="55">
        <f>+'Básico $'!P12+AP!M11</f>
        <v>20314861.068892002</v>
      </c>
      <c r="N20" s="7"/>
      <c r="O20" s="7"/>
      <c r="P20" s="7"/>
      <c r="Q20" s="85"/>
      <c r="R20" s="85"/>
      <c r="S20" s="85"/>
      <c r="T20" s="85"/>
      <c r="U20" s="85"/>
      <c r="V20" s="85"/>
    </row>
    <row r="21" spans="2:22" x14ac:dyDescent="0.25">
      <c r="B21" s="50" t="s">
        <v>62</v>
      </c>
      <c r="C21" s="59" t="s">
        <v>101</v>
      </c>
      <c r="D21" s="7">
        <f>+'AP Adicionales'!F6</f>
        <v>16717.72</v>
      </c>
      <c r="E21" s="7">
        <f>+'AP Adicionales'!G6</f>
        <v>3677.8984000000005</v>
      </c>
      <c r="F21" s="7">
        <f>+'AP Adicionales'!H6</f>
        <v>20395.618400000003</v>
      </c>
      <c r="G21" s="55"/>
      <c r="H21" s="55"/>
      <c r="I21" s="55"/>
      <c r="J21" s="55">
        <f>+'AP Adicionales'!I6</f>
        <v>835.88600000000008</v>
      </c>
      <c r="K21" s="55"/>
      <c r="L21" s="55"/>
      <c r="M21" s="55">
        <f>+'AP Adicionales'!J6</f>
        <v>15881.834000000001</v>
      </c>
      <c r="N21" s="7"/>
      <c r="O21" s="7"/>
      <c r="P21" s="7"/>
      <c r="Q21" s="85"/>
      <c r="R21" s="85"/>
      <c r="S21" s="85"/>
      <c r="T21" s="85"/>
      <c r="U21" s="85"/>
      <c r="V21" s="85"/>
    </row>
    <row r="22" spans="2:22" x14ac:dyDescent="0.25">
      <c r="B22" s="15" t="s">
        <v>108</v>
      </c>
      <c r="C22" s="59" t="s">
        <v>121</v>
      </c>
      <c r="D22" s="7">
        <v>22122654</v>
      </c>
      <c r="E22" s="7">
        <v>4870250.4400000004</v>
      </c>
      <c r="F22" s="7">
        <f>+D22+E22</f>
        <v>26992904.440000001</v>
      </c>
      <c r="G22" s="7">
        <f>+'Básico $'!I13</f>
        <v>455237.78286226001</v>
      </c>
      <c r="H22" s="7">
        <f>+'Básico $'!J13</f>
        <v>0</v>
      </c>
      <c r="I22" s="7">
        <f>+'Básico $'!K13</f>
        <v>0</v>
      </c>
      <c r="J22" s="7">
        <f>+'Básico $'!L13+AP!I12</f>
        <v>1106875.1015000001</v>
      </c>
      <c r="K22" s="7">
        <f>+'Básico $'!M13+AP!J12</f>
        <v>553437.55075000005</v>
      </c>
      <c r="L22" s="7">
        <f>+'Básico $'!O13+AP!L12</f>
        <v>14848</v>
      </c>
      <c r="M22" s="7">
        <f>+'Básico $'!P13+AP!M12</f>
        <v>20007103.594887741</v>
      </c>
      <c r="N22" s="7"/>
      <c r="O22" s="7"/>
      <c r="P22" s="7"/>
      <c r="Q22" s="85"/>
      <c r="R22" s="85"/>
      <c r="S22" s="85"/>
      <c r="T22" s="85"/>
      <c r="U22" s="85"/>
      <c r="V22" s="85"/>
    </row>
    <row r="23" spans="2:22" x14ac:dyDescent="0.25">
      <c r="B23" s="15" t="s">
        <v>116</v>
      </c>
      <c r="C23" s="2" t="s">
        <v>166</v>
      </c>
      <c r="D23" s="7">
        <f>+Acopios!E12</f>
        <v>6701768.8499999996</v>
      </c>
      <c r="E23" s="7">
        <v>0</v>
      </c>
      <c r="F23" s="7">
        <f>+D23</f>
        <v>6701768.8499999996</v>
      </c>
      <c r="G23" s="7"/>
      <c r="H23" s="7"/>
      <c r="I23" s="7"/>
      <c r="J23" s="7"/>
      <c r="K23" s="7"/>
      <c r="L23" s="7"/>
      <c r="M23" s="7">
        <f>+F23</f>
        <v>6701768.8499999996</v>
      </c>
      <c r="N23" s="7">
        <f>+Acopios!E13+Acopios!E14</f>
        <v>16330.605</v>
      </c>
      <c r="O23" s="7">
        <v>0</v>
      </c>
      <c r="P23" s="7">
        <f>+N23</f>
        <v>16330.605</v>
      </c>
      <c r="Q23" s="85"/>
      <c r="R23" s="85"/>
      <c r="S23" s="85"/>
      <c r="T23" s="85"/>
      <c r="U23" s="85"/>
      <c r="V23" s="85">
        <f>+P23</f>
        <v>16330.605</v>
      </c>
    </row>
    <row r="24" spans="2:22" x14ac:dyDescent="0.25">
      <c r="B24" s="15" t="s">
        <v>118</v>
      </c>
      <c r="C24" s="2" t="s">
        <v>119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22293.599999999999</v>
      </c>
      <c r="O24" s="7">
        <v>0</v>
      </c>
      <c r="P24" s="7">
        <f>+N24</f>
        <v>22293.599999999999</v>
      </c>
      <c r="Q24" s="85"/>
      <c r="R24" s="85"/>
      <c r="S24" s="85"/>
      <c r="T24" s="85"/>
      <c r="U24" s="85"/>
      <c r="V24" s="85">
        <v>22293.599999999999</v>
      </c>
    </row>
    <row r="25" spans="2:22" x14ac:dyDescent="0.25">
      <c r="B25" s="15" t="s">
        <v>117</v>
      </c>
      <c r="C25" s="2" t="s">
        <v>120</v>
      </c>
      <c r="D25" s="7">
        <v>25766012</v>
      </c>
      <c r="E25" s="7">
        <v>5672491.4400000004</v>
      </c>
      <c r="F25" s="7">
        <f t="shared" ref="F25:F30" si="0">+D25+E25</f>
        <v>31438503.440000001</v>
      </c>
      <c r="G25" s="7">
        <f>+'Básico $'!I14</f>
        <v>534817.05933367996</v>
      </c>
      <c r="H25" s="7">
        <v>0</v>
      </c>
      <c r="I25" s="7">
        <v>0</v>
      </c>
      <c r="J25" s="7">
        <f>+'Básico $'!L14+AP!I13</f>
        <v>1289202.5925</v>
      </c>
      <c r="K25" s="7">
        <f>+'Básico $'!M14+AP!J13</f>
        <v>644601.29625000001</v>
      </c>
      <c r="L25" s="7">
        <f>+'Básico $'!O14+AP!L13</f>
        <v>18040</v>
      </c>
      <c r="M25" s="7">
        <f>+'Básico $'!P14+AP!M13+'Básico $'!F15</f>
        <v>22788884.091160599</v>
      </c>
      <c r="N25" s="7"/>
      <c r="O25" s="7"/>
      <c r="P25" s="7"/>
      <c r="Q25" s="85"/>
      <c r="R25" s="85"/>
      <c r="S25" s="85"/>
      <c r="T25" s="85"/>
      <c r="U25" s="85"/>
      <c r="V25" s="85"/>
    </row>
    <row r="26" spans="2:22" x14ac:dyDescent="0.25">
      <c r="B26" s="15" t="s">
        <v>127</v>
      </c>
      <c r="C26" s="2" t="s">
        <v>128</v>
      </c>
      <c r="D26" s="7">
        <f>23807290-22155</f>
        <v>23785135</v>
      </c>
      <c r="E26" s="7">
        <v>5237604</v>
      </c>
      <c r="F26" s="7">
        <f t="shared" si="0"/>
        <v>29022739</v>
      </c>
      <c r="G26" s="7">
        <f>+'Básico $'!I16</f>
        <v>485378.61851999996</v>
      </c>
      <c r="H26" s="7">
        <f>+'Básico $'!J16</f>
        <v>499382.07575999998</v>
      </c>
      <c r="I26" s="7">
        <f>+'Básico $'!K16</f>
        <v>0</v>
      </c>
      <c r="J26" s="7">
        <f>+'Básico $'!L16+AP!I14</f>
        <v>1190364.46</v>
      </c>
      <c r="K26" s="7">
        <f>+'Básico $'!M16+AP!J14</f>
        <v>595182.23</v>
      </c>
      <c r="L26" s="7">
        <f>+'Básico $'!O16+AP!L14</f>
        <v>22155</v>
      </c>
      <c r="M26" s="7">
        <f>+'Básico $'!P16+AP!M14</f>
        <v>21014826.815720003</v>
      </c>
      <c r="N26" s="27"/>
      <c r="O26" s="27"/>
      <c r="P26" s="2"/>
      <c r="Q26" s="85"/>
      <c r="R26" s="85"/>
      <c r="S26" s="85"/>
      <c r="T26" s="85"/>
      <c r="U26" s="85"/>
      <c r="V26" s="85"/>
    </row>
    <row r="27" spans="2:22" x14ac:dyDescent="0.25">
      <c r="B27" s="15" t="s">
        <v>137</v>
      </c>
      <c r="C27" s="2" t="s">
        <v>136</v>
      </c>
      <c r="D27" s="7">
        <v>17482190</v>
      </c>
      <c r="E27" s="7">
        <v>3850713.02</v>
      </c>
      <c r="F27" s="7">
        <f t="shared" si="0"/>
        <v>21332903.02</v>
      </c>
      <c r="G27" s="7">
        <f>+'Básico $'!I17</f>
        <v>379785.31562369992</v>
      </c>
      <c r="H27" s="7">
        <f>+'Básico $'!J17</f>
        <v>390742.34427059995</v>
      </c>
      <c r="I27" s="7">
        <f>+'Básico $'!K17</f>
        <v>0</v>
      </c>
      <c r="J27" s="7">
        <f>+'Básico $'!L17</f>
        <v>875162.03249999997</v>
      </c>
      <c r="K27" s="7">
        <f>+'Básico $'!M17</f>
        <v>437581.01624999999</v>
      </c>
      <c r="L27" s="7">
        <f>+'Básico $'!O17</f>
        <v>21051</v>
      </c>
      <c r="M27" s="7">
        <f>+'Básico $'!P17</f>
        <v>15398918.941355698</v>
      </c>
      <c r="N27" s="27"/>
      <c r="O27" s="2"/>
      <c r="P27" s="2"/>
      <c r="Q27" s="85"/>
      <c r="R27" s="85"/>
      <c r="S27" s="85"/>
      <c r="T27" s="85"/>
      <c r="U27" s="85"/>
      <c r="V27" s="85"/>
    </row>
    <row r="28" spans="2:22" x14ac:dyDescent="0.25">
      <c r="B28" s="15" t="s">
        <v>146</v>
      </c>
      <c r="C28" s="2" t="s">
        <v>147</v>
      </c>
      <c r="D28" s="7">
        <v>2266032</v>
      </c>
      <c r="E28" s="7">
        <f>+D28*0.22</f>
        <v>498527.04</v>
      </c>
      <c r="F28" s="7">
        <f t="shared" si="0"/>
        <v>2764559.04</v>
      </c>
      <c r="G28" s="7"/>
      <c r="H28" s="7"/>
      <c r="I28" s="7"/>
      <c r="J28" s="7">
        <f>+AP!I15+AP!I16</f>
        <v>113301.5975</v>
      </c>
      <c r="K28" s="7">
        <f>+AP!J15+AP!J16</f>
        <v>56650.798750000002</v>
      </c>
      <c r="L28" s="7">
        <f>+AP!L15+AP!L16</f>
        <v>0</v>
      </c>
      <c r="M28" s="7">
        <f>+AP!M15+AP!M16</f>
        <v>2096079.55375</v>
      </c>
      <c r="N28" s="27"/>
      <c r="O28" s="2"/>
      <c r="P28" s="2"/>
      <c r="Q28" s="85"/>
      <c r="R28" s="85"/>
      <c r="S28" s="85"/>
      <c r="T28" s="85"/>
      <c r="U28" s="85"/>
      <c r="V28" s="85"/>
    </row>
    <row r="29" spans="2:22" x14ac:dyDescent="0.25">
      <c r="B29" s="15" t="s">
        <v>152</v>
      </c>
      <c r="C29" s="2" t="s">
        <v>151</v>
      </c>
      <c r="D29" s="7">
        <v>11865884</v>
      </c>
      <c r="E29" s="7">
        <v>2613744.3199999998</v>
      </c>
      <c r="F29" s="7">
        <f t="shared" si="0"/>
        <v>14479628.32</v>
      </c>
      <c r="G29" s="7">
        <f>+'Básico $'!I18</f>
        <v>258408.14328599998</v>
      </c>
      <c r="H29" s="7">
        <f>+'Básico $'!J18</f>
        <v>265863.36946800002</v>
      </c>
      <c r="I29" s="7">
        <f>+'Básico $'!K18</f>
        <v>0</v>
      </c>
      <c r="J29" s="7">
        <f>+'Básico $'!L18+AP!I17</f>
        <v>594032.75</v>
      </c>
      <c r="K29" s="7">
        <f>+'Básico $'!M18+AP!J17</f>
        <v>297016.375</v>
      </c>
      <c r="L29" s="7">
        <f>+'Básico $'!O18+AP!L17</f>
        <v>14772</v>
      </c>
      <c r="M29" s="7">
        <f>+'Básico $'!P18+AP!M17</f>
        <v>10450562.362246001</v>
      </c>
      <c r="N29" s="27"/>
      <c r="O29" s="2"/>
      <c r="P29" s="2"/>
      <c r="Q29" s="85"/>
      <c r="R29" s="85"/>
      <c r="S29" s="85"/>
      <c r="T29" s="85"/>
      <c r="U29" s="85"/>
      <c r="V29" s="85"/>
    </row>
    <row r="30" spans="2:22" x14ac:dyDescent="0.25">
      <c r="B30" s="15" t="s">
        <v>158</v>
      </c>
      <c r="C30" s="2" t="s">
        <v>157</v>
      </c>
      <c r="D30" s="7">
        <f>13126082-14060</f>
        <v>13112022</v>
      </c>
      <c r="E30" s="7">
        <f>+D30*0.22</f>
        <v>2884644.84</v>
      </c>
      <c r="F30" s="7">
        <f t="shared" si="0"/>
        <v>15996666.84</v>
      </c>
      <c r="G30" s="7">
        <f>+'Básico $'!I19</f>
        <v>269594.37360200001</v>
      </c>
      <c r="H30" s="7">
        <f>+'Básico $'!J19</f>
        <v>277372.32907600002</v>
      </c>
      <c r="I30" s="7">
        <f>+'Básico $'!K19</f>
        <v>0</v>
      </c>
      <c r="J30" s="7">
        <f>+'Básico $'!L19+AP!I18</f>
        <v>656304.10000000009</v>
      </c>
      <c r="K30" s="7">
        <f>+'Básico $'!M19+AP!J18</f>
        <v>328152.05000000005</v>
      </c>
      <c r="L30" s="7">
        <f>+'Básico $'!O19+AP!L18</f>
        <v>14060</v>
      </c>
      <c r="M30" s="7">
        <f>+'Básico $'!P19+AP!M18</f>
        <v>11580599.147322003</v>
      </c>
      <c r="N30" s="27"/>
      <c r="O30" s="2"/>
      <c r="P30" s="2"/>
      <c r="Q30" s="85"/>
      <c r="R30" s="85"/>
      <c r="S30" s="85"/>
      <c r="T30" s="85"/>
      <c r="U30" s="85"/>
      <c r="V30" s="85"/>
    </row>
    <row r="31" spans="2:22" x14ac:dyDescent="0.25">
      <c r="B31" s="15">
        <v>102</v>
      </c>
      <c r="C31" s="2" t="s">
        <v>165</v>
      </c>
      <c r="D31" s="7">
        <v>6701768.8499999996</v>
      </c>
      <c r="E31" s="7">
        <v>0</v>
      </c>
      <c r="F31" s="7">
        <f>+D31</f>
        <v>6701768.8499999996</v>
      </c>
      <c r="G31" s="7"/>
      <c r="H31" s="7"/>
      <c r="I31" s="7"/>
      <c r="J31" s="7"/>
      <c r="K31" s="7"/>
      <c r="L31" s="7"/>
      <c r="M31" s="7">
        <f>+F31</f>
        <v>6701768.8499999996</v>
      </c>
      <c r="N31" s="7">
        <v>16330.605</v>
      </c>
      <c r="O31" s="7">
        <v>0</v>
      </c>
      <c r="P31" s="7">
        <f>+N31</f>
        <v>16330.605</v>
      </c>
      <c r="Q31" s="85"/>
      <c r="R31" s="85"/>
      <c r="S31" s="85"/>
      <c r="T31" s="85"/>
      <c r="U31" s="85"/>
      <c r="V31" s="85">
        <f>+P31</f>
        <v>16330.605</v>
      </c>
    </row>
    <row r="32" spans="2:22" x14ac:dyDescent="0.25">
      <c r="B32" s="15" t="s">
        <v>168</v>
      </c>
      <c r="C32" s="2" t="s">
        <v>176</v>
      </c>
      <c r="D32" s="7">
        <f>15778796-17553</f>
        <v>15761243</v>
      </c>
      <c r="E32" s="7">
        <v>3471335</v>
      </c>
      <c r="F32" s="7">
        <f>+D32+E32</f>
        <v>19232578</v>
      </c>
      <c r="G32" s="7">
        <f>+'Básico $'!I20</f>
        <v>325437.81253585999</v>
      </c>
      <c r="H32" s="7">
        <f>+'Básico $'!J20</f>
        <v>334826.88390868</v>
      </c>
      <c r="I32" s="7">
        <f>+'Básico $'!K20</f>
        <v>425927.87355486001</v>
      </c>
      <c r="J32" s="7">
        <f>+'Básico $'!L20+AP!I19</f>
        <v>788939.76650000003</v>
      </c>
      <c r="K32" s="7">
        <f>+'Básico $'!M20+AP!J19</f>
        <v>394469.88325000001</v>
      </c>
      <c r="L32" s="7">
        <f>+'Básico $'!O20</f>
        <v>17553</v>
      </c>
      <c r="M32" s="7">
        <f>+'Básico $'!P20+AP!M19</f>
        <v>13491640.110250602</v>
      </c>
      <c r="N32" s="7"/>
      <c r="O32" s="7"/>
      <c r="P32" s="7"/>
      <c r="Q32" s="85"/>
      <c r="R32" s="85"/>
      <c r="S32" s="85"/>
      <c r="T32" s="85"/>
      <c r="U32" s="85"/>
      <c r="V32" s="85"/>
    </row>
    <row r="33" spans="2:24" x14ac:dyDescent="0.25">
      <c r="B33" s="15">
        <v>106</v>
      </c>
      <c r="C33" s="2" t="s">
        <v>177</v>
      </c>
      <c r="D33" s="2"/>
      <c r="E33" s="2"/>
      <c r="F33" s="2"/>
      <c r="G33" s="7"/>
      <c r="H33" s="7"/>
      <c r="I33" s="7"/>
      <c r="J33" s="7"/>
      <c r="K33" s="7"/>
      <c r="L33" s="7"/>
      <c r="M33" s="7"/>
      <c r="N33" s="7">
        <v>20074.189999999999</v>
      </c>
      <c r="O33" s="7">
        <f>+N33*0.22</f>
        <v>4416.3217999999997</v>
      </c>
      <c r="P33" s="7">
        <f>+N33+O33</f>
        <v>24490.5118</v>
      </c>
      <c r="Q33" s="85">
        <f>+'Básico USD Plaza'!I5</f>
        <v>401.48480000000006</v>
      </c>
      <c r="R33" s="85">
        <f>+'Básico USD Plaza'!J5</f>
        <v>301.11360000000002</v>
      </c>
      <c r="S33" s="85">
        <f>+'Básico USD Plaza'!K5</f>
        <v>309.40181786415695</v>
      </c>
      <c r="T33" s="85">
        <f>+'Básico USD Plaza'!L5</f>
        <v>1003.7120000000001</v>
      </c>
      <c r="U33" s="85">
        <f>+'Básico USD Plaza'!M5</f>
        <v>501.85600000000005</v>
      </c>
      <c r="V33" s="85">
        <f>+'Básico USD Plaza'!N5</f>
        <v>17556.671782135847</v>
      </c>
    </row>
    <row r="34" spans="2:24" x14ac:dyDescent="0.25">
      <c r="B34" s="15" t="s">
        <v>175</v>
      </c>
      <c r="C34" s="2" t="s">
        <v>179</v>
      </c>
      <c r="D34" s="2"/>
      <c r="E34" s="2"/>
      <c r="F34" s="2"/>
      <c r="G34" s="7"/>
      <c r="H34" s="7"/>
      <c r="I34" s="7"/>
      <c r="J34" s="7"/>
      <c r="K34" s="7"/>
      <c r="L34" s="7"/>
      <c r="M34" s="7"/>
      <c r="N34" s="7">
        <f>89319.97-88764.77</f>
        <v>555.19999999999709</v>
      </c>
      <c r="O34" s="7">
        <v>0</v>
      </c>
      <c r="P34" s="7">
        <f>+N34</f>
        <v>555.19999999999709</v>
      </c>
      <c r="Q34" s="85">
        <f>+'Básico USD CIF'!I4</f>
        <v>1786.4</v>
      </c>
      <c r="R34" s="85">
        <f>+'Básico USD CIF'!J4</f>
        <v>1339.8</v>
      </c>
      <c r="S34" s="85">
        <f>+'Básico USD CIF'!K4</f>
        <v>1339.8</v>
      </c>
      <c r="T34" s="85">
        <f>+'Básico USD CIF'!L4+'AYD USD CIF'!J4</f>
        <v>27.76169509644842</v>
      </c>
      <c r="U34" s="85">
        <f>+'Básico USD CIF'!M4</f>
        <v>2233</v>
      </c>
      <c r="V34" s="85">
        <f>+N34-Q34-R34-S34-T34-U34-L34</f>
        <v>-6171.5616950964513</v>
      </c>
      <c r="W34" s="204">
        <f>+V34+V35+V36+V37</f>
        <v>78154.97</v>
      </c>
      <c r="X34" s="166" t="s">
        <v>195</v>
      </c>
    </row>
    <row r="35" spans="2:24" x14ac:dyDescent="0.25">
      <c r="B35" s="15">
        <v>108</v>
      </c>
      <c r="C35" s="2" t="s">
        <v>178</v>
      </c>
      <c r="D35" s="2"/>
      <c r="E35" s="2"/>
      <c r="F35" s="2"/>
      <c r="G35" s="7"/>
      <c r="H35" s="7"/>
      <c r="I35" s="7"/>
      <c r="J35" s="7"/>
      <c r="K35" s="7"/>
      <c r="L35" s="7"/>
      <c r="M35" s="7"/>
      <c r="N35" s="7">
        <v>88764.77</v>
      </c>
      <c r="O35" s="7">
        <f>+N35*0.22</f>
        <v>19528.249400000001</v>
      </c>
      <c r="P35" s="7">
        <f>+N35+O35</f>
        <v>108293.0194</v>
      </c>
      <c r="Q35" s="85"/>
      <c r="R35" s="85"/>
      <c r="S35" s="85"/>
      <c r="T35" s="85">
        <f>+'AYD USD Plaza '!J4</f>
        <v>4438.2383049035516</v>
      </c>
      <c r="U35" s="85"/>
      <c r="V35" s="85">
        <f>+N35-Q35-R35-S35-T35-U35</f>
        <v>84326.531695096448</v>
      </c>
      <c r="W35" s="166"/>
      <c r="X35" s="166"/>
    </row>
    <row r="36" spans="2:24" x14ac:dyDescent="0.25">
      <c r="B36" s="15" t="s">
        <v>191</v>
      </c>
      <c r="C36" s="2" t="s">
        <v>193</v>
      </c>
      <c r="D36" s="2"/>
      <c r="E36" s="2"/>
      <c r="F36" s="2"/>
      <c r="G36" s="7"/>
      <c r="H36" s="7"/>
      <c r="I36" s="7"/>
      <c r="J36" s="7"/>
      <c r="K36" s="7"/>
      <c r="L36" s="7"/>
      <c r="M36" s="7"/>
      <c r="N36" s="7">
        <v>-555.20000000000005</v>
      </c>
      <c r="O36" s="7">
        <v>0</v>
      </c>
      <c r="P36" s="7">
        <f>+N36</f>
        <v>-555.20000000000005</v>
      </c>
      <c r="Q36" s="85"/>
      <c r="R36" s="85"/>
      <c r="S36" s="85"/>
      <c r="T36" s="85">
        <f>+'AYD USD CIF'!J5</f>
        <v>-27.759953685002671</v>
      </c>
      <c r="U36" s="85"/>
      <c r="V36" s="85">
        <f>+N36-T36</f>
        <v>-527.4400463149974</v>
      </c>
      <c r="W36" s="166"/>
      <c r="X36" s="166"/>
    </row>
    <row r="37" spans="2:24" x14ac:dyDescent="0.25">
      <c r="B37" s="15" t="s">
        <v>192</v>
      </c>
      <c r="C37" s="2" t="s">
        <v>194</v>
      </c>
      <c r="D37" s="2"/>
      <c r="E37" s="2"/>
      <c r="F37" s="2"/>
      <c r="G37" s="7"/>
      <c r="H37" s="7"/>
      <c r="I37" s="7"/>
      <c r="J37" s="7"/>
      <c r="K37" s="7"/>
      <c r="L37" s="7"/>
      <c r="M37" s="7"/>
      <c r="N37" s="7">
        <v>555.20000000000005</v>
      </c>
      <c r="O37" s="7">
        <f>+N37*0.22</f>
        <v>122.14400000000001</v>
      </c>
      <c r="P37" s="7">
        <f>+N37+O37</f>
        <v>677.34400000000005</v>
      </c>
      <c r="Q37" s="85"/>
      <c r="R37" s="85"/>
      <c r="S37" s="85"/>
      <c r="T37" s="85">
        <f>+'AYD USD Plaza '!J5</f>
        <v>27.759953685002671</v>
      </c>
      <c r="U37" s="85"/>
      <c r="V37" s="85">
        <f>+N37-T37</f>
        <v>527.4400463149974</v>
      </c>
      <c r="W37" s="166"/>
      <c r="X37" s="166"/>
    </row>
    <row r="38" spans="2:24" x14ac:dyDescent="0.25">
      <c r="B38" s="15" t="s">
        <v>208</v>
      </c>
      <c r="C38" s="2" t="s">
        <v>207</v>
      </c>
      <c r="D38" s="7">
        <v>13289475</v>
      </c>
      <c r="E38" s="7">
        <f>+D38*0.22</f>
        <v>2923684.5</v>
      </c>
      <c r="F38" s="7">
        <f>+D38+E38</f>
        <v>16213159.5</v>
      </c>
      <c r="G38" s="7">
        <f>+'Básico $'!I21</f>
        <v>266784.24956547999</v>
      </c>
      <c r="H38" s="7">
        <f>+'Básico $'!J21</f>
        <v>274481.13131624</v>
      </c>
      <c r="I38" s="7">
        <f>+'Básico $'!K21</f>
        <v>349163.01590747997</v>
      </c>
      <c r="J38" s="7">
        <f>+'Básico $'!L21+AP!I20</f>
        <v>664473.72900000005</v>
      </c>
      <c r="K38" s="7">
        <f>+'Básico $'!M21+AP!J20</f>
        <v>332236.86450000003</v>
      </c>
      <c r="L38" s="7">
        <f>+'Básico $'!O21+AP!L20</f>
        <v>19349</v>
      </c>
      <c r="M38" s="7">
        <f>+'Básico $'!P21+AP!M20</f>
        <v>11382986.589710798</v>
      </c>
      <c r="N38" s="7"/>
      <c r="O38" s="7"/>
      <c r="P38" s="7"/>
      <c r="Q38" s="85"/>
      <c r="R38" s="85"/>
      <c r="S38" s="85"/>
      <c r="T38" s="85"/>
      <c r="U38" s="85"/>
      <c r="V38" s="85"/>
    </row>
    <row r="39" spans="2:24" x14ac:dyDescent="0.25">
      <c r="B39" s="12">
        <v>111</v>
      </c>
      <c r="C39" s="2" t="s">
        <v>211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>
        <f>+'Básico USD Plaza'!F6</f>
        <v>36286.379999999997</v>
      </c>
      <c r="O39" s="7">
        <f>+'Básico USD Plaza'!G6</f>
        <v>7983.0035999999991</v>
      </c>
      <c r="P39" s="7">
        <f>+'Básico USD Plaza'!H6</f>
        <v>44269.383599999994</v>
      </c>
      <c r="Q39" s="85">
        <f>+'Básico USD Plaza'!I6</f>
        <v>725.72759999999994</v>
      </c>
      <c r="R39" s="85">
        <f>+'Básico USD Plaza'!J6</f>
        <v>544.2956999999999</v>
      </c>
      <c r="S39" s="85">
        <f>+'Básico USD Plaza'!K6</f>
        <v>559.27755848837046</v>
      </c>
      <c r="T39" s="85">
        <f>+'Básico USD Plaza'!L6</f>
        <v>1814.319</v>
      </c>
      <c r="U39" s="85">
        <f>+'Básico USD Plaza'!M6</f>
        <v>907.15949999999998</v>
      </c>
      <c r="V39" s="85">
        <f>+'Básico USD Plaza'!N6</f>
        <v>31735.600641511624</v>
      </c>
    </row>
    <row r="40" spans="2:24" x14ac:dyDescent="0.25">
      <c r="B40" s="12" t="s">
        <v>217</v>
      </c>
      <c r="C40" s="2" t="s">
        <v>216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f>2157.01-2157.01</f>
        <v>0</v>
      </c>
      <c r="O40" s="7">
        <v>0</v>
      </c>
      <c r="P40" s="7">
        <f>+N40</f>
        <v>0</v>
      </c>
      <c r="Q40" s="85">
        <f>+'Básico USD CIF'!I5</f>
        <v>43.140200000000007</v>
      </c>
      <c r="R40" s="85">
        <f>+'Básico USD CIF'!J5</f>
        <v>32.355150000000002</v>
      </c>
      <c r="S40" s="85">
        <f>+'Básico USD CIF'!K5</f>
        <v>32.355150000000002</v>
      </c>
      <c r="T40" s="85">
        <f>+'Básico USD CIF'!L5+'AYD USD CIF'!J6+'AYD USD CIF'!J7</f>
        <v>-3.0450772810084459E-3</v>
      </c>
      <c r="U40" s="85">
        <f>+'Básico USD CIF'!M5</f>
        <v>53.925250000000005</v>
      </c>
      <c r="V40" s="85">
        <f>+'Básico USD CIF'!N5+'AYD USD CIF'!K6+'AYD USD CIF'!K7</f>
        <v>-161.83360646833864</v>
      </c>
      <c r="W40" s="204">
        <f>+V40+V41</f>
        <v>1887.3837500000004</v>
      </c>
      <c r="X40" s="166" t="s">
        <v>195</v>
      </c>
    </row>
    <row r="41" spans="2:24" x14ac:dyDescent="0.25">
      <c r="B41" s="12">
        <v>113</v>
      </c>
      <c r="C41" s="2" t="s">
        <v>218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>
        <f>+'AYD USD Plaza '!I6+'AYD USD Plaza '!I7</f>
        <v>2157.07090154562</v>
      </c>
      <c r="O41" s="7">
        <f>+N41*0.22</f>
        <v>474.5555983400364</v>
      </c>
      <c r="P41" s="7">
        <f>+N41+O41</f>
        <v>2631.6264998856564</v>
      </c>
      <c r="Q41" s="85">
        <v>0</v>
      </c>
      <c r="R41" s="85">
        <v>0</v>
      </c>
      <c r="S41" s="85">
        <v>0</v>
      </c>
      <c r="T41" s="85">
        <f>+'AYD USD Plaza '!J6+'AYD USD Plaza '!J7</f>
        <v>107.85354507728101</v>
      </c>
      <c r="U41" s="85">
        <v>0</v>
      </c>
      <c r="V41" s="85">
        <f>+'AYD USD Plaza '!K6+'AYD USD Plaza '!K7</f>
        <v>2049.2173564683389</v>
      </c>
      <c r="W41" s="204"/>
      <c r="X41" s="166"/>
    </row>
    <row r="42" spans="2:24" x14ac:dyDescent="0.25">
      <c r="B42" s="12" t="s">
        <v>238</v>
      </c>
      <c r="C42" s="2" t="s">
        <v>239</v>
      </c>
      <c r="D42" s="7">
        <v>15866809</v>
      </c>
      <c r="E42" s="7">
        <f>+D42*0.22</f>
        <v>3490697.98</v>
      </c>
      <c r="F42" s="7">
        <f>+D42+E42</f>
        <v>19357506.98</v>
      </c>
      <c r="G42" s="7">
        <f>+'Básico $'!I22</f>
        <v>324967.61665887997</v>
      </c>
      <c r="H42" s="7">
        <f>+'Básico $'!J22</f>
        <v>334343.12260544003</v>
      </c>
      <c r="I42" s="7">
        <f>+'Básico $'!K22</f>
        <v>425312.48861087998</v>
      </c>
      <c r="J42" s="7">
        <f>+'Básico $'!L22+AP!I21</f>
        <v>793340.4580000001</v>
      </c>
      <c r="K42" s="7">
        <f>+'Básico $'!M22+AP!J21</f>
        <v>396670.22900000005</v>
      </c>
      <c r="L42" s="7">
        <f>+'Básico $'!O22+AP!L21</f>
        <v>17952</v>
      </c>
      <c r="M42" s="7">
        <f>+D42-G42-H42-I42-J42-K42-L42</f>
        <v>13574223.0851248</v>
      </c>
      <c r="N42" s="2"/>
      <c r="O42" s="2"/>
      <c r="P42" s="2"/>
      <c r="Q42" s="85"/>
      <c r="R42" s="85"/>
      <c r="S42" s="85"/>
      <c r="T42" s="85"/>
      <c r="U42" s="85"/>
      <c r="V42" s="85"/>
    </row>
    <row r="43" spans="2:24" x14ac:dyDescent="0.25">
      <c r="B43" s="12" t="s">
        <v>232</v>
      </c>
      <c r="C43" s="2" t="s">
        <v>236</v>
      </c>
      <c r="D43" s="7">
        <v>-444116</v>
      </c>
      <c r="E43" s="7">
        <f>+D43*0.22</f>
        <v>-97705.52</v>
      </c>
      <c r="F43" s="7">
        <f>+D43+E43</f>
        <v>-541821.52</v>
      </c>
      <c r="G43" s="7"/>
      <c r="H43" s="7"/>
      <c r="I43" s="7"/>
      <c r="J43" s="7">
        <f>+'AyD $'!K8+'AyD $'!K7</f>
        <v>-22205.8</v>
      </c>
      <c r="K43" s="7"/>
      <c r="L43" s="7"/>
      <c r="M43" s="7">
        <f>+D43-G43-H43-I43-J43-K43-L43</f>
        <v>-421910.2</v>
      </c>
      <c r="N43" s="7"/>
      <c r="O43" s="7"/>
      <c r="P43" s="7"/>
      <c r="Q43" s="85"/>
      <c r="R43" s="85"/>
      <c r="S43" s="85"/>
      <c r="T43" s="85"/>
      <c r="U43" s="85"/>
      <c r="V43" s="85"/>
      <c r="W43" s="1" t="s">
        <v>240</v>
      </c>
    </row>
    <row r="44" spans="2:24" x14ac:dyDescent="0.25">
      <c r="B44" s="12">
        <v>117</v>
      </c>
      <c r="C44" s="2" t="s">
        <v>233</v>
      </c>
      <c r="D44" s="2"/>
      <c r="E44" s="2"/>
      <c r="F44" s="2"/>
      <c r="G44" s="7"/>
      <c r="H44" s="7"/>
      <c r="I44" s="7"/>
      <c r="J44" s="7"/>
      <c r="K44" s="7"/>
      <c r="L44" s="7"/>
      <c r="M44" s="7"/>
      <c r="N44" s="7">
        <v>38012.639999999999</v>
      </c>
      <c r="O44" s="7">
        <f>+N44*0.22</f>
        <v>8362.7808000000005</v>
      </c>
      <c r="P44" s="7">
        <f>+N44+O44</f>
        <v>46375.4208</v>
      </c>
      <c r="Q44" s="85">
        <f>+'Básico USD Plaza'!I7</f>
        <v>760.25259999999992</v>
      </c>
      <c r="R44" s="85">
        <f>+'Básico USD Plaza'!J7</f>
        <v>570.18944999999997</v>
      </c>
      <c r="S44" s="85">
        <f>+'Básico USD Plaza'!K7</f>
        <v>585.88403963475514</v>
      </c>
      <c r="T44" s="85">
        <f>+'Básico USD Plaza'!L7</f>
        <v>1900.6315</v>
      </c>
      <c r="U44" s="85">
        <f>+'Básico USD Plaza'!M7</f>
        <v>950.31574999999998</v>
      </c>
      <c r="V44" s="85">
        <f>+N44-Q44-R44-S44-T44-U44</f>
        <v>33245.366660365238</v>
      </c>
    </row>
    <row r="45" spans="2:24" x14ac:dyDescent="0.25">
      <c r="B45" s="12">
        <v>118</v>
      </c>
      <c r="C45" s="2" t="s">
        <v>234</v>
      </c>
      <c r="D45" s="2"/>
      <c r="E45" s="2"/>
      <c r="F45" s="2"/>
      <c r="G45" s="7"/>
      <c r="H45" s="7"/>
      <c r="I45" s="7"/>
      <c r="J45" s="7"/>
      <c r="K45" s="7"/>
      <c r="L45" s="7"/>
      <c r="M45" s="7"/>
      <c r="N45" s="7">
        <v>10376.530000000001</v>
      </c>
      <c r="O45" s="7">
        <v>0</v>
      </c>
      <c r="P45" s="7">
        <f>+N45</f>
        <v>10376.530000000001</v>
      </c>
      <c r="Q45" s="85">
        <f>+'Básico USD CIF'!I6</f>
        <v>207.53060000000002</v>
      </c>
      <c r="R45" s="85">
        <f>+'Básico USD CIF'!J6</f>
        <v>155.64795000000001</v>
      </c>
      <c r="S45" s="85">
        <f>+'Básico USD CIF'!K6</f>
        <v>155.64795000000001</v>
      </c>
      <c r="T45" s="85">
        <f>+'Básico USD CIF'!L6</f>
        <v>518.82650000000001</v>
      </c>
      <c r="U45" s="85">
        <f>+'Básico USD CIF'!M6</f>
        <v>259.41325000000001</v>
      </c>
      <c r="V45" s="68">
        <f>+N45-Q45-R45-S45-T45-U45</f>
        <v>9079.4637500000008</v>
      </c>
      <c r="W45" s="229">
        <f>+V45+V46+V47</f>
        <v>9079.463749999999</v>
      </c>
      <c r="X45" s="166" t="s">
        <v>195</v>
      </c>
    </row>
    <row r="46" spans="2:24" x14ac:dyDescent="0.25">
      <c r="B46" s="12">
        <v>119</v>
      </c>
      <c r="C46" s="2" t="s">
        <v>235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>
        <v>10376.530000000001</v>
      </c>
      <c r="O46" s="7">
        <f>+N46*0.22</f>
        <v>2282.8366000000001</v>
      </c>
      <c r="P46" s="7">
        <f>+N46+O46</f>
        <v>12659.366600000001</v>
      </c>
      <c r="Q46" s="7"/>
      <c r="R46" s="7"/>
      <c r="S46" s="7"/>
      <c r="T46" s="7">
        <f>+'AYD USD Plaza '!J8+'AYD USD Plaza '!J9</f>
        <v>518.82642698409256</v>
      </c>
      <c r="U46" s="7"/>
      <c r="V46" s="7">
        <f t="shared" ref="V46:V47" si="1">+N46-Q46-R46-S46-T46-U46</f>
        <v>9857.7035730159078</v>
      </c>
      <c r="W46" s="229"/>
      <c r="X46" s="166"/>
    </row>
    <row r="47" spans="2:24" x14ac:dyDescent="0.25">
      <c r="B47" s="12" t="s">
        <v>230</v>
      </c>
      <c r="C47" s="2" t="s">
        <v>237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>
        <v>-10376.530000000001</v>
      </c>
      <c r="O47" s="7">
        <v>0</v>
      </c>
      <c r="P47" s="7">
        <f>+N47+O47</f>
        <v>-10376.530000000001</v>
      </c>
      <c r="Q47" s="7"/>
      <c r="R47" s="7"/>
      <c r="S47" s="7"/>
      <c r="T47" s="7">
        <f>+'AYD USD CIF'!J8+'AYD USD CIF'!J9</f>
        <v>-518.82642698409256</v>
      </c>
      <c r="U47" s="7"/>
      <c r="V47" s="7">
        <f t="shared" si="1"/>
        <v>-9857.7035730159078</v>
      </c>
      <c r="W47" s="229"/>
      <c r="X47" s="166"/>
    </row>
    <row r="48" spans="2:24" x14ac:dyDescent="0.25">
      <c r="B48" s="12" t="s">
        <v>333</v>
      </c>
      <c r="C48" s="2" t="s">
        <v>326</v>
      </c>
      <c r="D48" s="7">
        <f>+'Básico $'!F23+AP!F22</f>
        <v>16105104</v>
      </c>
      <c r="E48" s="7">
        <f>+'Básico $'!G23+AP!G22</f>
        <v>3543122.88</v>
      </c>
      <c r="F48" s="7">
        <f>+'Básico $'!H23+AP!H22</f>
        <v>19648226.879999999</v>
      </c>
      <c r="G48" s="7">
        <f>+'Básico $'!I23</f>
        <v>326385.93767399999</v>
      </c>
      <c r="H48" s="7">
        <f>+'Básico $'!J23</f>
        <v>335802.36301199999</v>
      </c>
      <c r="I48" s="7">
        <f>+'Básico $'!K23</f>
        <v>427168.76477399998</v>
      </c>
      <c r="J48" s="7">
        <f>+'Básico $'!L23+AP!I22</f>
        <v>805255.20000000007</v>
      </c>
      <c r="K48" s="7">
        <f>+'Básico $'!M23+AP!J22</f>
        <v>402627.60000000003</v>
      </c>
      <c r="L48" s="7">
        <f>+'Básico $'!O23</f>
        <v>19982</v>
      </c>
      <c r="M48" s="7">
        <f>+D48-G48-H48-I48-J48-K48-L48</f>
        <v>13787882.134539999</v>
      </c>
      <c r="N48" s="7"/>
      <c r="O48" s="7"/>
      <c r="P48" s="7"/>
      <c r="Q48" s="7"/>
      <c r="R48" s="7"/>
      <c r="S48" s="7"/>
      <c r="T48" s="7"/>
      <c r="U48" s="7"/>
      <c r="V48" s="7"/>
    </row>
    <row r="49" spans="2:24" x14ac:dyDescent="0.25">
      <c r="B49" s="12" t="s">
        <v>311</v>
      </c>
      <c r="C49" s="2" t="s">
        <v>327</v>
      </c>
      <c r="D49" s="7">
        <f>+'AP Adicionales'!F7+'AP Adicionales'!F8</f>
        <v>-29523.89</v>
      </c>
      <c r="E49" s="7">
        <f>+'AP Adicionales'!G7+'AP Adicionales'!G8</f>
        <v>-6495.2557999999999</v>
      </c>
      <c r="F49" s="7">
        <f>+'AP Adicionales'!H7+'AP Adicionales'!H8</f>
        <v>-36019.145799999998</v>
      </c>
      <c r="G49" s="7"/>
      <c r="H49" s="7"/>
      <c r="I49" s="7"/>
      <c r="J49" s="7">
        <f>+'AP Adicionales'!I7+'AP Adicionales'!I8</f>
        <v>-1476.1945000000001</v>
      </c>
      <c r="K49" s="7"/>
      <c r="L49" s="7"/>
      <c r="M49" s="7">
        <f>+D49-G49-H49-I49-J49-K49-L49</f>
        <v>-28047.695499999998</v>
      </c>
      <c r="N49" s="7"/>
      <c r="O49" s="7"/>
      <c r="P49" s="7"/>
      <c r="Q49" s="7"/>
      <c r="R49" s="7"/>
      <c r="S49" s="7"/>
      <c r="T49" s="7"/>
      <c r="U49" s="7"/>
      <c r="V49" s="7"/>
      <c r="W49" s="1" t="s">
        <v>332</v>
      </c>
    </row>
    <row r="50" spans="2:24" x14ac:dyDescent="0.25">
      <c r="B50" s="12">
        <v>124</v>
      </c>
      <c r="C50" s="2" t="s">
        <v>328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f>+'Básico USD Plaza'!F8</f>
        <v>81816.97</v>
      </c>
      <c r="O50" s="7">
        <f>+'Básico USD Plaza'!G8</f>
        <v>17999.733400000001</v>
      </c>
      <c r="P50" s="7">
        <f>+'Básico USD Plaza'!H8</f>
        <v>99816.703399999999</v>
      </c>
      <c r="Q50" s="7">
        <f>+'Básico USD Plaza'!I8</f>
        <v>1636.3394000000001</v>
      </c>
      <c r="R50" s="7">
        <f>+'Básico USD Plaza'!J8</f>
        <v>1227.2545499999999</v>
      </c>
      <c r="S50" s="7">
        <f>+'Básico USD Plaza'!K8</f>
        <v>1261.0350005846892</v>
      </c>
      <c r="T50" s="7">
        <f>+'Básico USD Plaza'!L8</f>
        <v>4090.8485000000001</v>
      </c>
      <c r="U50" s="7">
        <f>+'Básico USD Plaza'!M8</f>
        <v>2045.42425</v>
      </c>
      <c r="V50" s="7">
        <f>+N50-Q50-R50-S50-T50-U50</f>
        <v>71556.068299415332</v>
      </c>
    </row>
    <row r="51" spans="2:24" x14ac:dyDescent="0.25">
      <c r="B51" s="12">
        <v>125</v>
      </c>
      <c r="C51" s="2" t="s">
        <v>329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29">
        <f>+V51+V52+V53</f>
        <v>0</v>
      </c>
      <c r="X51" s="166" t="s">
        <v>195</v>
      </c>
    </row>
    <row r="52" spans="2:24" x14ac:dyDescent="0.25">
      <c r="B52" s="12">
        <v>126</v>
      </c>
      <c r="C52" s="2" t="s">
        <v>330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229"/>
      <c r="X52" s="166"/>
    </row>
    <row r="53" spans="2:24" x14ac:dyDescent="0.25">
      <c r="B53" s="12" t="s">
        <v>325</v>
      </c>
      <c r="C53" s="2" t="s">
        <v>331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229"/>
      <c r="X53" s="166"/>
    </row>
  </sheetData>
  <autoFilter ref="B3:M3" xr:uid="{441EF1EB-ECA0-4462-8CF3-F31A7CAFCD96}">
    <sortState xmlns:xlrd2="http://schemas.microsoft.com/office/spreadsheetml/2017/richdata2" ref="B5:M26">
      <sortCondition ref="B3"/>
    </sortState>
  </autoFilter>
  <mergeCells count="12">
    <mergeCell ref="B2:B3"/>
    <mergeCell ref="W34:W37"/>
    <mergeCell ref="W40:W41"/>
    <mergeCell ref="X40:X41"/>
    <mergeCell ref="X34:X37"/>
    <mergeCell ref="D2:M2"/>
    <mergeCell ref="N2:V2"/>
    <mergeCell ref="W51:W53"/>
    <mergeCell ref="X51:X53"/>
    <mergeCell ref="W45:W47"/>
    <mergeCell ref="X45:X47"/>
    <mergeCell ref="C2:C3"/>
  </mergeCells>
  <pageMargins left="0.7" right="0.7" top="0.75" bottom="0.75" header="0.3" footer="0.3"/>
  <ignoredErrors>
    <ignoredError sqref="B4:B21 B23:B24 B28 B37" numberStoredAsText="1"/>
    <ignoredError sqref="F31:F32 P34:P36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E5E9-C7C2-4170-9BA9-9F811ABA8DDB}">
  <sheetPr codeName="Hoja12"/>
  <dimension ref="B3:G7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11.42578125" style="1"/>
    <col min="2" max="2" width="9.5703125" style="1" customWidth="1"/>
    <col min="3" max="3" width="21" style="1" bestFit="1" customWidth="1"/>
    <col min="4" max="4" width="18.5703125" style="1" bestFit="1" customWidth="1"/>
    <col min="5" max="5" width="22" style="1" customWidth="1"/>
    <col min="6" max="6" width="13.7109375" style="1" bestFit="1" customWidth="1"/>
    <col min="7" max="16384" width="11.42578125" style="1"/>
  </cols>
  <sheetData>
    <row r="3" spans="2:7" s="4" customFormat="1" x14ac:dyDescent="0.25">
      <c r="B3" s="4" t="s">
        <v>291</v>
      </c>
      <c r="C3" s="4" t="s">
        <v>322</v>
      </c>
      <c r="D3" s="4" t="s">
        <v>323</v>
      </c>
      <c r="E3" s="4" t="s">
        <v>324</v>
      </c>
      <c r="F3" s="4" t="s">
        <v>6</v>
      </c>
      <c r="G3" s="4" t="s">
        <v>1</v>
      </c>
    </row>
    <row r="4" spans="2:7" x14ac:dyDescent="0.25">
      <c r="B4" s="5">
        <v>46082</v>
      </c>
      <c r="C4" s="7">
        <f>+'Básico USD CIF'!N4</f>
        <v>78155</v>
      </c>
      <c r="D4" s="7">
        <f>+'AYD USD Plaza '!K4+'AYD USD Plaza '!K5</f>
        <v>84853.966913182536</v>
      </c>
      <c r="E4" s="7">
        <f>+'AYD USD CIF'!K4+'AYD USD CIF'!K5</f>
        <v>-84853.966913182536</v>
      </c>
      <c r="F4" s="7">
        <v>78154.97</v>
      </c>
      <c r="G4" s="9">
        <v>46141</v>
      </c>
    </row>
    <row r="5" spans="2:7" x14ac:dyDescent="0.25">
      <c r="B5" s="5">
        <v>46113</v>
      </c>
      <c r="C5" s="7">
        <f>+'Básico USD CIF'!N5</f>
        <v>1887.3837500000006</v>
      </c>
      <c r="D5" s="7">
        <f>+'AYD USD Plaza '!K6+'AYD USD Plaza '!K7</f>
        <v>2049.2173564683389</v>
      </c>
      <c r="E5" s="7">
        <f>+'AYD USD CIF'!K6+'AYD USD CIF'!K7</f>
        <v>-2049.2173564683394</v>
      </c>
      <c r="F5" s="7">
        <v>1887.38</v>
      </c>
      <c r="G5" s="9">
        <v>46163</v>
      </c>
    </row>
    <row r="6" spans="2:7" x14ac:dyDescent="0.25">
      <c r="B6" s="5">
        <v>46143</v>
      </c>
      <c r="C6" s="7">
        <f>+'Básico USD CIF'!N6</f>
        <v>9079.4637500000008</v>
      </c>
      <c r="D6" s="7">
        <f>+'AYD USD Plaza '!K8+'AYD USD Plaza '!K9</f>
        <v>9857.7021126977561</v>
      </c>
      <c r="E6" s="7">
        <f>+'AYD USD CIF'!K8+'AYD USD CIF'!K9</f>
        <v>-9857.7021126977561</v>
      </c>
      <c r="F6" s="7">
        <v>9079.4599999999991</v>
      </c>
      <c r="G6" s="9">
        <v>46198</v>
      </c>
    </row>
    <row r="7" spans="2:7" x14ac:dyDescent="0.25">
      <c r="B7" s="5">
        <v>46174</v>
      </c>
      <c r="C7" s="7">
        <f>+'Básico USD CIF'!N7</f>
        <v>2565.1499999999996</v>
      </c>
      <c r="D7" s="7">
        <f>+'AYD USD Plaza '!K10+'AYD USD Plaza '!K11</f>
        <v>2049.2173564683389</v>
      </c>
      <c r="E7" s="7">
        <f>+'AYD USD CIF'!K10+'AYD USD CIF'!K11</f>
        <v>-2049.2173564683394</v>
      </c>
      <c r="F7" s="27">
        <f>+C7+D7+E7</f>
        <v>2565.1499999999992</v>
      </c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</vt:lpstr>
      <vt:lpstr>Acopios</vt:lpstr>
      <vt:lpstr>Básico $</vt:lpstr>
      <vt:lpstr>Básico USD Plaza</vt:lpstr>
      <vt:lpstr>Básico USD CIF</vt:lpstr>
      <vt:lpstr>AyD $</vt:lpstr>
      <vt:lpstr>AYD USD Plaza </vt:lpstr>
      <vt:lpstr>AYD USD CIF</vt:lpstr>
      <vt:lpstr>AP</vt:lpstr>
      <vt:lpstr>AP Adicionales</vt:lpstr>
      <vt:lpstr>Por orden GP</vt:lpstr>
      <vt:lpstr>Ascensores</vt:lpstr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 Giucci</dc:creator>
  <cp:lastModifiedBy>Veronica  Giucci</cp:lastModifiedBy>
  <cp:lastPrinted>2025-11-12T17:36:21Z</cp:lastPrinted>
  <dcterms:created xsi:type="dcterms:W3CDTF">2025-02-28T13:23:57Z</dcterms:created>
  <dcterms:modified xsi:type="dcterms:W3CDTF">2026-07-30T19:34:20Z</dcterms:modified>
</cp:coreProperties>
</file>